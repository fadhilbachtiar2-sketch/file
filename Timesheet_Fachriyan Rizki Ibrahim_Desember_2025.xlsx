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imesheet\"/>
    </mc:Choice>
  </mc:AlternateContent>
  <xr:revisionPtr revIDLastSave="0" documentId="8_{6F635770-5A08-41B7-A8D2-A5622E3BB5B0}" xr6:coauthVersionLast="47" xr6:coauthVersionMax="47" xr10:uidLastSave="{00000000-0000-0000-0000-000000000000}"/>
  <bookViews>
    <workbookView xWindow="-110" yWindow="-110" windowWidth="19420" windowHeight="10420" firstSheet="1" activeTab="1" xr2:uid="{287076C2-500C-4AE4-B01E-3C74A6B599A0}"/>
  </bookViews>
  <sheets>
    <sheet name="Timesheet_Template (OLD)" sheetId="28" state="hidden" r:id="rId1"/>
    <sheet name="Timesheet_Template" sheetId="30" r:id="rId2"/>
    <sheet name="Timesheet Field Guideline" sheetId="24" state="hidden" r:id="rId3"/>
  </sheets>
  <definedNames>
    <definedName name="_xlnm.Print_Area" localSheetId="0">'Timesheet_Template (OLD)'!$A$1:$AL$49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30" l="1"/>
  <c r="AB25" i="30"/>
  <c r="AA9" i="30"/>
  <c r="AC25" i="30"/>
  <c r="V25" i="30"/>
  <c r="U25" i="30"/>
  <c r="Z25" i="30"/>
  <c r="T25" i="30"/>
  <c r="S25" i="30"/>
  <c r="C44" i="30"/>
  <c r="C33" i="30"/>
  <c r="C34" i="30" s="1"/>
  <c r="AH25" i="30"/>
  <c r="AG25" i="30"/>
  <c r="AF25" i="30"/>
  <c r="AE25" i="30"/>
  <c r="AD25" i="30"/>
  <c r="Y25" i="30"/>
  <c r="X25" i="30"/>
  <c r="W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AI24" i="30"/>
  <c r="AI23" i="30"/>
  <c r="C35" i="30" s="1"/>
  <c r="AI22" i="30"/>
  <c r="C36" i="30" s="1"/>
  <c r="AI20" i="30"/>
  <c r="C45" i="30" s="1"/>
  <c r="AI19" i="30"/>
  <c r="AI18" i="30"/>
  <c r="C43" i="30" s="1"/>
  <c r="AI14" i="30"/>
  <c r="AI13" i="30"/>
  <c r="AI12" i="30"/>
  <c r="D10" i="30" a="1"/>
  <c r="N25" i="28"/>
  <c r="W25" i="28"/>
  <c r="AC25" i="28"/>
  <c r="J25" i="28"/>
  <c r="AF25" i="28"/>
  <c r="D10" i="28" a="1"/>
  <c r="D10" i="28" s="1"/>
  <c r="Y9" i="30" l="1"/>
  <c r="T9" i="30"/>
  <c r="S9" i="30"/>
  <c r="Z9" i="30"/>
  <c r="AH9" i="30"/>
  <c r="J9" i="30"/>
  <c r="O9" i="30"/>
  <c r="AB9" i="30"/>
  <c r="AI25" i="30"/>
  <c r="C41" i="30" s="1"/>
  <c r="AC9" i="30"/>
  <c r="V9" i="30"/>
  <c r="P9" i="30"/>
  <c r="E9" i="30"/>
  <c r="F9" i="30"/>
  <c r="AD9" i="30"/>
  <c r="H9" i="30"/>
  <c r="AF9" i="30"/>
  <c r="N9" i="30"/>
  <c r="Q9" i="30"/>
  <c r="R9" i="30"/>
  <c r="G9" i="30"/>
  <c r="AE9" i="30"/>
  <c r="I9" i="30"/>
  <c r="U9" i="30"/>
  <c r="AG9" i="30"/>
  <c r="K9" i="30"/>
  <c r="W9" i="30"/>
  <c r="L9" i="30"/>
  <c r="X9" i="30"/>
  <c r="D10" i="30"/>
  <c r="D9" i="30" s="1"/>
  <c r="M9" i="30"/>
  <c r="E25" i="28"/>
  <c r="C33" i="28"/>
  <c r="C34" i="28" s="1"/>
  <c r="AH22" i="28"/>
  <c r="C36" i="28" s="1"/>
  <c r="AH23" i="28"/>
  <c r="C35" i="28" s="1"/>
  <c r="AH24" i="28"/>
  <c r="F25" i="28"/>
  <c r="G25" i="28"/>
  <c r="H25" i="28"/>
  <c r="I25" i="28"/>
  <c r="K25" i="28"/>
  <c r="L25" i="28"/>
  <c r="M25" i="28"/>
  <c r="O25" i="28"/>
  <c r="P25" i="28"/>
  <c r="Q25" i="28"/>
  <c r="R25" i="28"/>
  <c r="S25" i="28"/>
  <c r="T25" i="28"/>
  <c r="U25" i="28"/>
  <c r="V25" i="28"/>
  <c r="X25" i="28"/>
  <c r="Y25" i="28"/>
  <c r="Z25" i="28"/>
  <c r="AA25" i="28"/>
  <c r="AB25" i="28"/>
  <c r="AD25" i="28"/>
  <c r="AE25" i="28"/>
  <c r="AG25" i="28"/>
  <c r="AH18" i="28"/>
  <c r="C43" i="28" s="1"/>
  <c r="AH19" i="28"/>
  <c r="C44" i="28" s="1"/>
  <c r="AH20" i="28"/>
  <c r="C45" i="28" s="1"/>
  <c r="AH12" i="28"/>
  <c r="AH13" i="28"/>
  <c r="AH14" i="28"/>
  <c r="T9" i="28" l="1"/>
  <c r="Z9" i="28"/>
  <c r="AA9" i="28"/>
  <c r="AB9" i="28"/>
  <c r="Y9" i="28"/>
  <c r="R9" i="28"/>
  <c r="AD9" i="28"/>
  <c r="S9" i="28"/>
  <c r="AE9" i="28"/>
  <c r="AC9" i="28"/>
  <c r="Q9" i="28"/>
  <c r="P9" i="28"/>
  <c r="O9" i="28"/>
  <c r="N9" i="28"/>
  <c r="M9" i="28"/>
  <c r="X9" i="28"/>
  <c r="L9" i="28"/>
  <c r="W9" i="28"/>
  <c r="K9" i="28"/>
  <c r="V9" i="28"/>
  <c r="J9" i="28"/>
  <c r="AG9" i="28"/>
  <c r="U9" i="28"/>
  <c r="I9" i="28"/>
  <c r="AF9" i="28"/>
  <c r="D9" i="28"/>
  <c r="G9" i="28"/>
  <c r="E9" i="28"/>
  <c r="F9" i="28"/>
  <c r="H9" i="28"/>
  <c r="C37" i="28"/>
  <c r="C38" i="28" s="1"/>
  <c r="AH25" i="28"/>
  <c r="C41" i="2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<sst xmlns="http://schemas.openxmlformats.org/spreadsheetml/2006/main" count="262" uniqueCount="171">
  <si>
    <t>Timesheet Period</t>
  </si>
  <si>
    <t>Timesheet period valid rule:</t>
  </si>
  <si>
    <t>Start Date</t>
  </si>
  <si>
    <t>1. Periode timesheet maksimum 31 hari</t>
  </si>
  <si>
    <t>End Date</t>
  </si>
  <si>
    <t>2. Start date harus lebih awal dari end date</t>
  </si>
  <si>
    <t>Outsource Name</t>
  </si>
  <si>
    <t>John Doe</t>
  </si>
  <si>
    <t>Supervisor/PUK Name</t>
  </si>
  <si>
    <t xml:space="preserve">Risti S. </t>
  </si>
  <si>
    <t>*PO/ PR Number</t>
  </si>
  <si>
    <t>JPOXCVY8999</t>
  </si>
  <si>
    <t>Role</t>
  </si>
  <si>
    <t>Business Analyst</t>
  </si>
  <si>
    <t>GHIT Name</t>
  </si>
  <si>
    <t>Wina Yohara</t>
  </si>
  <si>
    <t>*Location</t>
  </si>
  <si>
    <t>MBD</t>
  </si>
  <si>
    <t>Vendor</t>
  </si>
  <si>
    <t>PT Accord Innovation Indonesia</t>
  </si>
  <si>
    <t>Project/ Budget/ CRF</t>
  </si>
  <si>
    <t>Detail Activity</t>
  </si>
  <si>
    <t xml:space="preserve">*Shift </t>
  </si>
  <si>
    <t>Total Hours</t>
  </si>
  <si>
    <t>*Remarks</t>
  </si>
  <si>
    <t>Project</t>
  </si>
  <si>
    <t>CRF-2XC&amp;/NGI</t>
  </si>
  <si>
    <t>Tracking project budget id A</t>
  </si>
  <si>
    <t>Support SIT</t>
  </si>
  <si>
    <t>IT-2222-00X78VB/Dbank Pro</t>
  </si>
  <si>
    <t>Deployment Preparation</t>
  </si>
  <si>
    <t>BAU</t>
  </si>
  <si>
    <t>AMC-MS-2099-000XY7</t>
  </si>
  <si>
    <t>Monitor testing</t>
  </si>
  <si>
    <t>Morning</t>
  </si>
  <si>
    <t xml:space="preserve">Fixing ticket </t>
  </si>
  <si>
    <t>Afternoon</t>
  </si>
  <si>
    <t>Night</t>
  </si>
  <si>
    <t>Leave (hours)</t>
  </si>
  <si>
    <t>Sick (hours)</t>
  </si>
  <si>
    <t>Public Holiday (hours)</t>
  </si>
  <si>
    <t>Total working hours a day</t>
  </si>
  <si>
    <t>Public Holiday</t>
  </si>
  <si>
    <t>Approved by</t>
  </si>
  <si>
    <t>Acknowledgement by (DD-MM-YY)</t>
  </si>
  <si>
    <t xml:space="preserve">Weekend </t>
  </si>
  <si>
    <t>Supervisor/ PUK</t>
  </si>
  <si>
    <t>please drop your signature here
Supervisor/ PUK name</t>
  </si>
  <si>
    <t>I acknowledge that the information provided in this timesheet is accurate and complete. I can confirm that the hours worked and tasks performed are correctly recorded</t>
  </si>
  <si>
    <t>Total Working hours &gt; 8</t>
  </si>
  <si>
    <t>Total Working hours &lt;= 8</t>
  </si>
  <si>
    <t>Hari Kerja</t>
  </si>
  <si>
    <t xml:space="preserve">Jumlah hari libur kerja 1 bulan - Public Holiday </t>
  </si>
  <si>
    <t>Group Head of IT</t>
  </si>
  <si>
    <t>please drop your signature here
GH IT name</t>
  </si>
  <si>
    <t>please drop your signature here
Employee name</t>
  </si>
  <si>
    <t>Jumlah hari kerja dalam sebulan - Office Days</t>
  </si>
  <si>
    <t>Jumlah hari pegawai sakit</t>
  </si>
  <si>
    <t xml:space="preserve">Jumlah hari pegawai cuti </t>
  </si>
  <si>
    <t>Jumlah kehadiran pegawai dalam sebulan (termasuk Sabtu dan Minggu)</t>
  </si>
  <si>
    <t>Persentase Kehadiran Karyawan</t>
  </si>
  <si>
    <t>Jam Kerja</t>
  </si>
  <si>
    <t>Total jam kerja pegawai sebulan (termasuk sabtu dan minggu)</t>
  </si>
  <si>
    <t>Total jam kerja lembur (manual input, sesuai yang diperbolehkan klaim lembur)</t>
  </si>
  <si>
    <t>Total morning shift</t>
  </si>
  <si>
    <t>Total afternoon shift</t>
  </si>
  <si>
    <t>Total night shift</t>
  </si>
  <si>
    <t>Notes</t>
  </si>
  <si>
    <t>Izin adalah leave</t>
  </si>
  <si>
    <t>* = optional</t>
  </si>
  <si>
    <t xml:space="preserve">TIMESHEET GUIDELINE </t>
  </si>
  <si>
    <t>Field Guideline</t>
  </si>
  <si>
    <t>Color Code</t>
  </si>
  <si>
    <t>Mandatory</t>
  </si>
  <si>
    <t>Optional</t>
  </si>
  <si>
    <t>No.</t>
  </si>
  <si>
    <t>Field</t>
  </si>
  <si>
    <t>Description</t>
  </si>
  <si>
    <t>PIC</t>
  </si>
  <si>
    <t>Control Action</t>
  </si>
  <si>
    <t>Sample Filling</t>
  </si>
  <si>
    <t>HEADER</t>
  </si>
  <si>
    <t>Fill with start date and end date</t>
  </si>
  <si>
    <t>Outsource</t>
  </si>
  <si>
    <t xml:space="preserve">Supervisor/GHIT need to ensure that timesheet period is valid </t>
  </si>
  <si>
    <t xml:space="preserve">Example :
Start Date: 1-Aug-24
End Date: 31-Aug-24
</t>
  </si>
  <si>
    <t>Fill with outsource name</t>
  </si>
  <si>
    <t>Supervisor/GHIT need to ensure that outsource name is valid</t>
  </si>
  <si>
    <t>Example :
John Doe</t>
  </si>
  <si>
    <t xml:space="preserve">Role </t>
  </si>
  <si>
    <t>Fill with role name</t>
  </si>
  <si>
    <t>Supervisor/GHIT need to ensure that outsource role  is valid</t>
  </si>
  <si>
    <t>Example :
Business Analyst</t>
  </si>
  <si>
    <t>Fill with vendor name</t>
  </si>
  <si>
    <t>Supervisor/GHIT need to ensure that vendor name  is valid</t>
  </si>
  <si>
    <t>Example :
PT Accord Innovation Indonesia</t>
  </si>
  <si>
    <t>- Fill with supervisor/PUK name
- If the case supervisor/PUK name and GHIT name is same, allowed to do so</t>
  </si>
  <si>
    <t>Supervisor/GHIT need to ensure that Supervisor/PUK name  is valid</t>
  </si>
  <si>
    <t>Example:
John Wick</t>
  </si>
  <si>
    <t xml:space="preserve">- Fill with GHIT name
- If the case supervisor/PUK name and GHIT name is same, allowed to do so
</t>
  </si>
  <si>
    <t>Supervisor/GHIT need to ensure that GHIT name is valid</t>
  </si>
  <si>
    <t>Example:
Harry Potter</t>
  </si>
  <si>
    <t>PO/PR Number</t>
  </si>
  <si>
    <t>Fill with PO/PR number based on current outsource contract</t>
  </si>
  <si>
    <t>Supervisor/GHIT need to ensure that PO/PR number is valid</t>
  </si>
  <si>
    <t>Example:
JPOXCVY8999</t>
  </si>
  <si>
    <t>Location</t>
  </si>
  <si>
    <t>Fill with the location of the employee work at during tasks completion</t>
  </si>
  <si>
    <t>Supervisor/ GH IT to validate the location of the activity done by the employee</t>
  </si>
  <si>
    <t>Example:
1. Matraman
2. Falatehan
etc</t>
  </si>
  <si>
    <t>BODY</t>
  </si>
  <si>
    <t>Project/Budget/CRF</t>
  </si>
  <si>
    <t xml:space="preserve">- Fill with project/ CRF/ Budget ID &amp; Name
- ID is optional
- Categorize by 2:
1. Project
2. BAU
- Only fill in the applicable category 
- If project/ CRF/ Budget/Project ID &amp; Name is not available/applicable then fill with task/activity area name
</t>
  </si>
  <si>
    <t>- If the outsource have activities/tasks in both project and BAU, he/she needs to list down them all
-  Supervisor/GHIT needs to validate the list of project/budget/CRF /activity area name that was listed</t>
  </si>
  <si>
    <t xml:space="preserve">Example:
1. CRF-2XC&amp;/NGI
2. IT-2222-00X78VB/Dbank Pro
3. AMC-MS-2099-000XY7
4. Project Governance
</t>
  </si>
  <si>
    <t>- Fill in with the detail of activity on the daily basis, including the following information, but not limited to:
1. Description: a brief yet clear description of the tasks completed 
2. Task type (project basis): planning, conduct testing, etc
- In other words, sub-tasks or activity related to the Main Project/ CRF/ Tasks Area
- the tasks/sub-task should not be too granular</t>
  </si>
  <si>
    <t>Supervisor/ GH IT to validate the activity done by the employee</t>
  </si>
  <si>
    <t>Example:
1. Prepare CCB checkllist document and deployment
2. Develop new testing script for Project A
etc</t>
  </si>
  <si>
    <t>Shift</t>
  </si>
  <si>
    <t>- Fill with type of work shifts (Morning, Afternoon, Night) for each tasks
- Mandatory to fill in for shifting kind of activity/task</t>
  </si>
  <si>
    <t>Supervisor/ GH IT to validate the work shift of the activity done by the employee</t>
  </si>
  <si>
    <t>Example:
1. Morning
2. Afternoon
etc</t>
  </si>
  <si>
    <t>Leave (hours)
Sick (hours)
Public holiday (hours)</t>
  </si>
  <si>
    <t>Fill the Leave, Sick, and Public Holiday remarks for each day if there is any in hours</t>
  </si>
  <si>
    <t>Outsource/ Supervisor</t>
  </si>
  <si>
    <t xml:space="preserve"> Supervisor to validate the day the employee submit the Sick, Leave, and also the Public Holiday</t>
  </si>
  <si>
    <t xml:space="preserve">Example:
1. Leave half day -&gt;&gt; 4 (hours)
2. Public holiday -&gt;&gt; 8 (hours) by default
3. Sick half day -&gt;&gt; 4 (hours)
4. Leave/ Sick full day -&gt;&gt; 8 (hours)
</t>
  </si>
  <si>
    <t>Total Working (hours)</t>
  </si>
  <si>
    <t xml:space="preserve">- Automatically calculated based on the hours input for each tasks completed by the employee
- The hours input for each tasks should be under supervisor/GHIT's provision &amp; acknowledgement, eg:
1. if the outsource only allowed to put total 8 hours in a day
2. If the outsource allowed to put total &gt; 8 hours in a day but with no overtime hours claimed
3. If the outsource allowed to put total &gt; 8 hours in a day with overtime hours claimed
</t>
  </si>
  <si>
    <t xml:space="preserve">- If the hours completed for each day &gt; 8 hours, it will be highlighted (red)
- If the hours completed for each day &lt; 8 hours, it will be highlighted (yellow)
Outsource &amp; Supervisor need to re-validate the numbers input for the highlighted box, especially for input that &gt; 8 hours
</t>
  </si>
  <si>
    <t>Example:
1. 9 hours (category: Red)
2. 7 hours (category: Yellow)</t>
  </si>
  <si>
    <t>Remarks</t>
  </si>
  <si>
    <t>Additional remarks to be added to each activity done by the employee</t>
  </si>
  <si>
    <t>Example:
1. Outstanding results
2. Timely delivery as planned
etc</t>
  </si>
  <si>
    <t>FOOTER</t>
  </si>
  <si>
    <t>Automatically calculated (if applicable) based on total of public holidays in a month</t>
  </si>
  <si>
    <t>-</t>
  </si>
  <si>
    <t>Automatically calculated based on total office days (exclude Saturday and Sunday) in a month minus public holidays</t>
  </si>
  <si>
    <t>Automatically calculated (if applicable) based on sick days</t>
  </si>
  <si>
    <t>Automatically calculated (if applicable) based on leave days</t>
  </si>
  <si>
    <t>Automatically calculated based on total days of outsources' attendance/work including Saturday and Sunday in a month</t>
  </si>
  <si>
    <t>Automatically calculated based on total days of outsources' attendance/work minus total of working days (working days is total days of outsources' attendance/work + sick days + leave days) in a month</t>
  </si>
  <si>
    <t>Automatically calculated based on total working hours in a month including Saturday and Sunday</t>
  </si>
  <si>
    <t>Total jam kerja lembur (manual input, sesuai yang diklaim lembur)</t>
  </si>
  <si>
    <t xml:space="preserve">- Fill with only claimable overtime hours which already agreed/acknowledged by supervisor/PUK/GHIT (another separate discussion/confirmation may occurr to ensure this filling)
</t>
  </si>
  <si>
    <t>Supervisor to check and agree the overtime hours claimed by the outsource</t>
  </si>
  <si>
    <t>Example:
1. 10 hours</t>
  </si>
  <si>
    <t>Automatically calculated (if applicable) based on total morning shift hours</t>
  </si>
  <si>
    <t>Automatically calculated (if applicable) based on total morning afternoon hours</t>
  </si>
  <si>
    <t>Automatically calculated (if applicable) based on total morning night hours</t>
  </si>
  <si>
    <t>Outsource acknowledgment and signature</t>
  </si>
  <si>
    <t>- Fill with current timesheet submission date
- Fill with e-signature/signature and outsource name</t>
  </si>
  <si>
    <r>
      <t xml:space="preserve">Example:
30-Jul-24
</t>
    </r>
    <r>
      <rPr>
        <b/>
        <i/>
        <sz val="10"/>
        <color theme="1"/>
        <rFont val="Calibri"/>
        <family val="2"/>
        <scheme val="minor"/>
      </rPr>
      <t xml:space="preserve">e-signature/signature
</t>
    </r>
    <r>
      <rPr>
        <sz val="10"/>
        <color theme="1"/>
        <rFont val="Calibri"/>
        <family val="2"/>
        <scheme val="minor"/>
      </rPr>
      <t xml:space="preserve">
John Doe</t>
    </r>
  </si>
  <si>
    <t>Supervisor/PUK Signature</t>
  </si>
  <si>
    <t>- Fill with e-signature/signature and supervisor/PUK name</t>
  </si>
  <si>
    <t>Supervisor/PUK</t>
  </si>
  <si>
    <t>Supervisor/PUK to only give signature after outsource gave theirs</t>
  </si>
  <si>
    <r>
      <t xml:space="preserve">Example:
</t>
    </r>
    <r>
      <rPr>
        <b/>
        <i/>
        <sz val="10"/>
        <color theme="1"/>
        <rFont val="Calibri"/>
        <family val="2"/>
        <scheme val="minor"/>
      </rPr>
      <t xml:space="preserve">e-signature/signature
</t>
    </r>
    <r>
      <rPr>
        <sz val="10"/>
        <color theme="1"/>
        <rFont val="Calibri"/>
        <family val="2"/>
        <scheme val="minor"/>
      </rPr>
      <t xml:space="preserve">
John Wick</t>
    </r>
  </si>
  <si>
    <t>GHIT Signature</t>
  </si>
  <si>
    <t>- Fill with e-signature/signature and GHIT name</t>
  </si>
  <si>
    <t>GHIT</t>
  </si>
  <si>
    <t>GHIT to only give signature after outsource (and or supervisor/PUK) gave theirs</t>
  </si>
  <si>
    <r>
      <t xml:space="preserve">Example:
</t>
    </r>
    <r>
      <rPr>
        <b/>
        <i/>
        <sz val="10"/>
        <color theme="1"/>
        <rFont val="Calibri"/>
        <family val="2"/>
        <scheme val="minor"/>
      </rPr>
      <t xml:space="preserve">e-signature/signature
</t>
    </r>
    <r>
      <rPr>
        <sz val="10"/>
        <color theme="1"/>
        <rFont val="Calibri"/>
        <family val="2"/>
        <scheme val="minor"/>
      </rPr>
      <t xml:space="preserve">
Harry Potter</t>
    </r>
  </si>
  <si>
    <t>Fachriyan Rizki Ibrahim</t>
  </si>
  <si>
    <t>SmartUi Dbank Pro 2.0</t>
  </si>
  <si>
    <t xml:space="preserve">
Fachriyan Rizki Ibrahim</t>
  </si>
  <si>
    <t>Stanley Immanuel</t>
  </si>
  <si>
    <t xml:space="preserve">
Stanley Immanuel</t>
  </si>
  <si>
    <t>Software Engineer</t>
  </si>
  <si>
    <t>Improvement For Onboarding Feature</t>
  </si>
  <si>
    <t>Acknowledgement by (31-12-25)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</si>
</sst>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[$-409]d\-mmm;@"/>
  </numFmts>
  <fonts count="2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444444"/>
      <name val="Calibri"/>
      <family val="2"/>
      <charset val="1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7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20" fillId="0" borderId="0"/>
    <xf numFmtId="0" fontId="21" fillId="0" borderId="0"/>
    <xf numFmtId="164" fontId="20" fillId="0" borderId="0" applyFont="0" applyFill="0" applyBorder="0" applyAlignment="0" applyProtection="0"/>
  </cellStyleXfs>
  <cellXfs count="20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6" borderId="0" xfId="0" applyFill="1"/>
    <xf numFmtId="0" fontId="0" fillId="10" borderId="0" xfId="0" applyFill="1"/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top"/>
    </xf>
    <xf numFmtId="0" fontId="4" fillId="0" borderId="19" xfId="0" quotePrefix="1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center" vertical="top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4" fillId="0" borderId="18" xfId="0" quotePrefix="1" applyFont="1" applyBorder="1" applyAlignment="1">
      <alignment horizontal="left" vertical="top" wrapText="1"/>
    </xf>
    <xf numFmtId="0" fontId="10" fillId="12" borderId="18" xfId="0" applyFont="1" applyFill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vertical="top"/>
    </xf>
    <xf numFmtId="0" fontId="11" fillId="0" borderId="18" xfId="0" applyFont="1" applyBorder="1" applyAlignment="1">
      <alignment horizontal="left" vertical="top" wrapText="1"/>
    </xf>
    <xf numFmtId="0" fontId="4" fillId="0" borderId="18" xfId="0" quotePrefix="1" applyFont="1" applyBorder="1" applyAlignment="1">
      <alignment vertical="top" wrapText="1"/>
    </xf>
    <xf numFmtId="0" fontId="4" fillId="0" borderId="20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4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vertical="top" wrapText="1"/>
    </xf>
    <xf numFmtId="0" fontId="4" fillId="0" borderId="20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3" fillId="0" borderId="18" xfId="0" applyFont="1" applyBorder="1" applyAlignment="1">
      <alignment vertical="top" wrapText="1"/>
    </xf>
    <xf numFmtId="0" fontId="10" fillId="13" borderId="19" xfId="0" applyFont="1" applyFill="1" applyBorder="1" applyAlignment="1">
      <alignment horizontal="left" vertical="top" wrapText="1"/>
    </xf>
    <xf numFmtId="0" fontId="8" fillId="13" borderId="0" xfId="0" applyFont="1" applyFill="1" applyAlignment="1">
      <alignment horizontal="center" vertical="center" wrapText="1"/>
    </xf>
    <xf numFmtId="0" fontId="7" fillId="2" borderId="18" xfId="0" applyFont="1" applyFill="1" applyBorder="1" applyAlignment="1">
      <alignment horizontal="left" vertical="top" wrapText="1"/>
    </xf>
    <xf numFmtId="0" fontId="7" fillId="7" borderId="19" xfId="0" applyFont="1" applyFill="1" applyBorder="1" applyAlignment="1">
      <alignment horizontal="center" vertical="center"/>
    </xf>
    <xf numFmtId="0" fontId="13" fillId="2" borderId="18" xfId="0" applyFont="1" applyFill="1" applyBorder="1" applyAlignment="1" applyProtection="1">
      <alignment horizontal="left" vertical="top" wrapText="1"/>
      <protection locked="0"/>
    </xf>
    <xf numFmtId="0" fontId="12" fillId="2" borderId="18" xfId="0" applyFont="1" applyFill="1" applyBorder="1" applyAlignment="1" applyProtection="1">
      <alignment horizontal="left" vertical="top" wrapText="1"/>
      <protection locked="0"/>
    </xf>
    <xf numFmtId="0" fontId="10" fillId="13" borderId="18" xfId="0" applyFont="1" applyFill="1" applyBorder="1" applyAlignment="1" applyProtection="1">
      <alignment horizontal="left" vertical="top" wrapText="1"/>
      <protection locked="0"/>
    </xf>
    <xf numFmtId="0" fontId="0" fillId="6" borderId="0" xfId="0" applyFill="1" applyAlignment="1">
      <alignment vertical="center"/>
    </xf>
    <xf numFmtId="0" fontId="16" fillId="6" borderId="0" xfId="0" applyFont="1" applyFill="1"/>
    <xf numFmtId="0" fontId="17" fillId="6" borderId="0" xfId="0" applyFont="1" applyFill="1"/>
    <xf numFmtId="0" fontId="0" fillId="6" borderId="0" xfId="0" applyFill="1" applyAlignment="1">
      <alignment wrapText="1"/>
    </xf>
    <xf numFmtId="0" fontId="5" fillId="6" borderId="0" xfId="0" applyFont="1" applyFill="1" applyAlignment="1">
      <alignment wrapText="1"/>
    </xf>
    <xf numFmtId="0" fontId="17" fillId="6" borderId="0" xfId="0" applyFont="1" applyFill="1" applyAlignment="1">
      <alignment wrapText="1"/>
    </xf>
    <xf numFmtId="0" fontId="17" fillId="6" borderId="0" xfId="0" applyFont="1" applyFill="1" applyAlignment="1">
      <alignment vertical="top" wrapText="1"/>
    </xf>
    <xf numFmtId="0" fontId="16" fillId="6" borderId="1" xfId="0" applyFont="1" applyFill="1" applyBorder="1" applyAlignment="1">
      <alignment wrapText="1"/>
    </xf>
    <xf numFmtId="0" fontId="19" fillId="0" borderId="1" xfId="0" applyFont="1" applyBorder="1" applyAlignment="1">
      <alignment horizontal="center" vertical="center"/>
    </xf>
    <xf numFmtId="166" fontId="19" fillId="6" borderId="1" xfId="0" applyNumberFormat="1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wrapText="1"/>
    </xf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right" vertical="center"/>
    </xf>
    <xf numFmtId="0" fontId="19" fillId="6" borderId="1" xfId="0" applyFont="1" applyFill="1" applyBorder="1" applyAlignment="1">
      <alignment wrapText="1"/>
    </xf>
    <xf numFmtId="0" fontId="19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right" vertical="center"/>
    </xf>
    <xf numFmtId="0" fontId="19" fillId="4" borderId="4" xfId="0" applyFont="1" applyFill="1" applyBorder="1" applyAlignment="1">
      <alignment wrapText="1"/>
    </xf>
    <xf numFmtId="0" fontId="19" fillId="5" borderId="5" xfId="0" applyFont="1" applyFill="1" applyBorder="1" applyAlignment="1">
      <alignment wrapText="1"/>
    </xf>
    <xf numFmtId="0" fontId="19" fillId="5" borderId="1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right" vertical="center"/>
    </xf>
    <xf numFmtId="0" fontId="17" fillId="6" borderId="0" xfId="0" applyFont="1" applyFill="1" applyAlignment="1">
      <alignment vertical="center"/>
    </xf>
    <xf numFmtId="1" fontId="17" fillId="6" borderId="0" xfId="0" applyNumberFormat="1" applyFont="1" applyFill="1" applyAlignment="1">
      <alignment vertical="center"/>
    </xf>
    <xf numFmtId="9" fontId="17" fillId="6" borderId="0" xfId="1" applyFont="1" applyFill="1" applyAlignment="1">
      <alignment vertical="center"/>
    </xf>
    <xf numFmtId="0" fontId="19" fillId="4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5" fillId="6" borderId="0" xfId="0" applyFont="1" applyFill="1" applyAlignment="1">
      <alignment vertical="center"/>
    </xf>
    <xf numFmtId="0" fontId="19" fillId="6" borderId="1" xfId="0" applyFont="1" applyFill="1" applyBorder="1" applyAlignment="1">
      <alignment horizont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wrapText="1"/>
    </xf>
    <xf numFmtId="0" fontId="19" fillId="6" borderId="0" xfId="0" applyFont="1" applyFill="1" applyAlignment="1">
      <alignment vertical="center"/>
    </xf>
    <xf numFmtId="15" fontId="19" fillId="6" borderId="0" xfId="0" applyNumberFormat="1" applyFont="1" applyFill="1"/>
    <xf numFmtId="0" fontId="19" fillId="6" borderId="0" xfId="0" applyFont="1" applyFill="1"/>
    <xf numFmtId="15" fontId="19" fillId="6" borderId="0" xfId="0" applyNumberFormat="1" applyFont="1" applyFill="1" applyAlignment="1">
      <alignment wrapText="1"/>
    </xf>
    <xf numFmtId="2" fontId="19" fillId="6" borderId="0" xfId="0" applyNumberFormat="1" applyFont="1" applyFill="1" applyAlignment="1">
      <alignment vertical="center"/>
    </xf>
    <xf numFmtId="0" fontId="19" fillId="6" borderId="0" xfId="0" applyFont="1" applyFill="1" applyAlignment="1">
      <alignment wrapText="1"/>
    </xf>
    <xf numFmtId="0" fontId="19" fillId="8" borderId="0" xfId="0" applyFont="1" applyFill="1" applyAlignment="1">
      <alignment wrapText="1"/>
    </xf>
    <xf numFmtId="0" fontId="1" fillId="6" borderId="0" xfId="0" applyFont="1" applyFill="1"/>
    <xf numFmtId="0" fontId="19" fillId="8" borderId="0" xfId="0" applyFont="1" applyFill="1"/>
    <xf numFmtId="0" fontId="19" fillId="8" borderId="0" xfId="0" applyFont="1" applyFill="1" applyAlignment="1">
      <alignment vertical="center" wrapText="1"/>
    </xf>
    <xf numFmtId="15" fontId="1" fillId="6" borderId="0" xfId="0" applyNumberFormat="1" applyFont="1" applyFill="1" applyAlignment="1">
      <alignment vertical="center"/>
    </xf>
    <xf numFmtId="15" fontId="19" fillId="6" borderId="0" xfId="0" applyNumberFormat="1" applyFont="1" applyFill="1" applyAlignment="1">
      <alignment vertical="center"/>
    </xf>
    <xf numFmtId="0" fontId="19" fillId="6" borderId="1" xfId="0" applyFont="1" applyFill="1" applyBorder="1" applyAlignment="1">
      <alignment vertical="top"/>
    </xf>
    <xf numFmtId="0" fontId="19" fillId="6" borderId="1" xfId="0" applyFont="1" applyFill="1" applyBorder="1" applyAlignment="1">
      <alignment vertical="top" wrapText="1"/>
    </xf>
    <xf numFmtId="0" fontId="1" fillId="0" borderId="4" xfId="0" applyFont="1" applyBorder="1" applyAlignment="1">
      <alignment horizontal="center" vertical="center"/>
    </xf>
    <xf numFmtId="0" fontId="0" fillId="9" borderId="0" xfId="0" applyFill="1" applyAlignment="1">
      <alignment vertical="top"/>
    </xf>
    <xf numFmtId="0" fontId="16" fillId="6" borderId="1" xfId="0" applyFont="1" applyFill="1" applyBorder="1" applyAlignment="1">
      <alignment vertical="top" wrapText="1"/>
    </xf>
    <xf numFmtId="0" fontId="0" fillId="6" borderId="0" xfId="0" applyFill="1" applyAlignment="1">
      <alignment vertical="top"/>
    </xf>
    <xf numFmtId="0" fontId="4" fillId="10" borderId="0" xfId="0" applyFont="1" applyFill="1" applyAlignment="1">
      <alignment horizontal="left" wrapText="1"/>
    </xf>
    <xf numFmtId="0" fontId="7" fillId="11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0" fillId="10" borderId="0" xfId="0" applyFill="1" applyAlignment="1">
      <alignment wrapText="1"/>
    </xf>
    <xf numFmtId="0" fontId="5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top"/>
    </xf>
    <xf numFmtId="0" fontId="7" fillId="7" borderId="19" xfId="0" applyFont="1" applyFill="1" applyBorder="1" applyAlignment="1">
      <alignment horizontal="center" vertical="top"/>
    </xf>
    <xf numFmtId="0" fontId="13" fillId="2" borderId="20" xfId="0" applyFont="1" applyFill="1" applyBorder="1" applyAlignment="1" applyProtection="1">
      <alignment horizontal="left" vertical="top" wrapText="1"/>
      <protection locked="0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0" fillId="12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0" fillId="1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4" fillId="0" borderId="0" xfId="0" quotePrefix="1" applyFont="1" applyAlignment="1">
      <alignment horizontal="left" vertical="center" wrapText="1"/>
    </xf>
    <xf numFmtId="0" fontId="4" fillId="0" borderId="0" xfId="0" quotePrefix="1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7" fillId="2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quotePrefix="1" applyFont="1" applyAlignment="1">
      <alignment horizontal="left" vertical="top" wrapText="1"/>
    </xf>
    <xf numFmtId="0" fontId="4" fillId="0" borderId="21" xfId="0" applyFont="1" applyBorder="1" applyAlignment="1">
      <alignment horizontal="center" vertical="top"/>
    </xf>
    <xf numFmtId="0" fontId="3" fillId="0" borderId="21" xfId="0" applyFont="1" applyBorder="1" applyAlignment="1">
      <alignment vertical="top" wrapText="1"/>
    </xf>
    <xf numFmtId="0" fontId="4" fillId="0" borderId="21" xfId="0" quotePrefix="1" applyFont="1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4" fillId="0" borderId="21" xfId="0" applyFont="1" applyBorder="1" applyAlignment="1">
      <alignment vertical="top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0" xfId="0" applyFont="1" applyAlignment="1">
      <alignment horizontal="left" vertical="top" wrapText="1"/>
    </xf>
    <xf numFmtId="165" fontId="7" fillId="0" borderId="0" xfId="0" applyNumberFormat="1" applyFont="1" applyAlignment="1" applyProtection="1">
      <alignment horizontal="left" vertical="top" wrapText="1"/>
      <protection locked="0"/>
    </xf>
    <xf numFmtId="0" fontId="14" fillId="0" borderId="0" xfId="0" applyFont="1" applyAlignment="1">
      <alignment horizontal="left" vertical="top" wrapText="1"/>
    </xf>
    <xf numFmtId="0" fontId="7" fillId="0" borderId="0" xfId="0" applyFont="1" applyAlignment="1" applyProtection="1">
      <alignment horizontal="left" vertical="top" wrapText="1"/>
      <protection locked="0"/>
    </xf>
    <xf numFmtId="0" fontId="14" fillId="0" borderId="0" xfId="0" quotePrefix="1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" fontId="16" fillId="6" borderId="0" xfId="0" applyNumberFormat="1" applyFont="1" applyFill="1"/>
    <xf numFmtId="2" fontId="16" fillId="6" borderId="0" xfId="0" applyNumberFormat="1" applyFont="1" applyFill="1"/>
    <xf numFmtId="0" fontId="13" fillId="2" borderId="18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top" wrapText="1"/>
    </xf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left" vertical="center"/>
    </xf>
    <xf numFmtId="0" fontId="19" fillId="6" borderId="3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7" fillId="6" borderId="0" xfId="0" applyFont="1" applyFill="1" applyAlignment="1">
      <alignment horizontal="left"/>
    </xf>
    <xf numFmtId="0" fontId="19" fillId="14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/>
    </xf>
    <xf numFmtId="0" fontId="16" fillId="6" borderId="0" xfId="0" applyFont="1" applyFill="1" applyAlignment="1">
      <alignment horizontal="left" vertical="center" wrapText="1"/>
    </xf>
    <xf numFmtId="0" fontId="18" fillId="6" borderId="31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18" fillId="6" borderId="23" xfId="0" applyFont="1" applyFill="1" applyBorder="1" applyAlignment="1">
      <alignment horizontal="center" vertical="center" wrapText="1"/>
    </xf>
    <xf numFmtId="0" fontId="18" fillId="6" borderId="32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18" fillId="6" borderId="22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top"/>
    </xf>
    <xf numFmtId="0" fontId="5" fillId="6" borderId="29" xfId="0" applyFont="1" applyFill="1" applyBorder="1" applyAlignment="1">
      <alignment horizontal="center" vertical="top"/>
    </xf>
    <xf numFmtId="0" fontId="5" fillId="6" borderId="30" xfId="0" applyFont="1" applyFill="1" applyBorder="1" applyAlignment="1">
      <alignment horizontal="center" vertical="top"/>
    </xf>
    <xf numFmtId="0" fontId="5" fillId="6" borderId="2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18" fillId="6" borderId="33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18" fillId="6" borderId="27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30" xfId="0" applyFont="1" applyBorder="1" applyAlignment="1">
      <alignment horizontal="center" vertical="top"/>
    </xf>
    <xf numFmtId="0" fontId="18" fillId="6" borderId="2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6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39" xfId="0" applyFont="1" applyFill="1" applyBorder="1" applyAlignment="1">
      <alignment horizontal="center" vertical="center" wrapText="1"/>
    </xf>
    <xf numFmtId="0" fontId="18" fillId="6" borderId="40" xfId="0" applyFont="1" applyFill="1" applyBorder="1" applyAlignment="1">
      <alignment horizontal="center" vertical="center" wrapText="1"/>
    </xf>
    <xf numFmtId="0" fontId="18" fillId="6" borderId="4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top"/>
    </xf>
    <xf numFmtId="0" fontId="5" fillId="6" borderId="24" xfId="0" applyFont="1" applyFill="1" applyBorder="1" applyAlignment="1">
      <alignment horizontal="center" vertical="top"/>
    </xf>
    <xf numFmtId="0" fontId="5" fillId="6" borderId="8" xfId="0" applyFont="1" applyFill="1" applyBorder="1" applyAlignment="1">
      <alignment horizontal="center" vertical="top"/>
    </xf>
    <xf numFmtId="0" fontId="4" fillId="0" borderId="0" xfId="0" quotePrefix="1" applyFont="1" applyAlignment="1">
      <alignment horizontal="left" vertical="top" wrapText="1"/>
    </xf>
    <xf numFmtId="0" fontId="19" fillId="15" borderId="1" xfId="0" applyFont="1" applyFill="1" applyBorder="1" applyAlignment="1">
      <alignment horizontal="center" vertical="center"/>
    </xf>
    <xf numFmtId="166" fontId="19" fillId="15" borderId="1" xfId="0" applyNumberFormat="1" applyFont="1" applyFill="1" applyBorder="1" applyAlignment="1">
      <alignment horizontal="center" vertical="center"/>
    </xf>
  </cellXfs>
  <cellStyles count="6">
    <cellStyle name="Comma 2" xfId="5" xr:uid="{FAE89348-70FF-4CAB-AB1A-A307EDDAF216}"/>
    <cellStyle name="Normal" xfId="0" builtinId="0"/>
    <cellStyle name="Normal 2" xfId="2" xr:uid="{8E514C86-C745-4091-808B-FD6CB250A674}"/>
    <cellStyle name="Normal 2 2" xfId="4" xr:uid="{284837D0-2514-4B7D-84D0-06BF9134ECBA}"/>
    <cellStyle name="Normal 3" xfId="3" xr:uid="{2676A1FF-3F44-4C6C-9A5B-0B277B9682F3}"/>
    <cellStyle name="Percent" xfId="1" builtinId="5"/>
  </cellStyles>
  <dxfs count="12">
    <dxf>
      <fill>
        <patternFill>
          <bgColor theme="2" tint="-9.9948118533890809E-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347346</xdr:colOff>
      <xdr:row>32</xdr:row>
      <xdr:rowOff>128832</xdr:rowOff>
    </xdr:from>
    <xdr:to>
      <xdr:col>32</xdr:col>
      <xdr:colOff>647700</xdr:colOff>
      <xdr:row>35</xdr:row>
      <xdr:rowOff>140902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06B7F-88D6-8389-87A4-E20E9912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81446" y="7050332"/>
          <a:ext cx="1633854" cy="735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9525</xdr:rowOff>
    </xdr:from>
    <xdr:to>
      <xdr:col>2</xdr:col>
      <xdr:colOff>727075</xdr:colOff>
      <xdr:row>5</xdr:row>
      <xdr:rowOff>15878</xdr:rowOff>
    </xdr:to>
    <xdr:pic>
      <xdr:nvPicPr>
        <xdr:cNvPr id="2" name="Picture 1" descr="A logo with green and orange colors&#10;&#10;Description automatically generated">
          <a:extLst>
            <a:ext uri="{FF2B5EF4-FFF2-40B4-BE49-F238E27FC236}">
              <a16:creationId xmlns:a16="http://schemas.microsoft.com/office/drawing/2014/main" id="{04E14923-E0A0-4FFB-8B84-C570711C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81" b="89222" l="2658" r="97010">
                      <a14:foregroundMark x1="7973" y1="39521" x2="7973" y2="39521"/>
                      <a14:foregroundMark x1="22591" y1="40120" x2="22591" y2="40120"/>
                      <a14:foregroundMark x1="2658" y1="33533" x2="2658" y2="33533"/>
                      <a14:foregroundMark x1="91362" y1="46108" x2="91362" y2="46108"/>
                      <a14:foregroundMark x1="97010" y1="49102" x2="97010" y2="49102"/>
                      <a14:foregroundMark x1="46179" y1="61078" x2="46179" y2="61078"/>
                      <a14:foregroundMark x1="38206" y1="41317" x2="38206" y2="41317"/>
                      <a14:foregroundMark x1="8638" y1="59880" x2="8638" y2="59880"/>
                      <a14:foregroundMark x1="16279" y1="64072" x2="16611" y2="64072"/>
                      <a14:foregroundMark x1="19601" y1="63473" x2="19601" y2="63473"/>
                      <a14:foregroundMark x1="12292" y1="67066" x2="12292" y2="67066"/>
                      <a14:foregroundMark x1="23588" y1="65269" x2="23588" y2="65269"/>
                      <a14:foregroundMark x1="12292" y1="61078" x2="12292" y2="61078"/>
                      <a14:foregroundMark x1="30897" y1="64671" x2="30897" y2="64671"/>
                      <a14:foregroundMark x1="27243" y1="60479" x2="27243" y2="60479"/>
                      <a14:foregroundMark x1="33887" y1="64072" x2="33887" y2="64072"/>
                      <a14:foregroundMark x1="53488" y1="64072" x2="53821" y2="64072"/>
                      <a14:foregroundMark x1="37209" y1="41317" x2="37209" y2="41317"/>
                      <a14:backgroundMark x1="14286" y1="67066" x2="14286" y2="67066"/>
                      <a14:backgroundMark x1="29568" y1="67665" x2="29568" y2="6766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9525"/>
          <a:ext cx="1517650" cy="927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5AA7-7F03-4756-ABAE-780E4EC0177E}">
  <sheetPr>
    <tabColor theme="9" tint="0.59999389629810485"/>
  </sheetPr>
  <dimension ref="A1:AJ53"/>
  <sheetViews>
    <sheetView zoomScale="70" zoomScaleNormal="70" workbookViewId="0">
      <selection activeCell="G22" sqref="G22"/>
    </sheetView>
  </sheetViews>
  <sheetFormatPr defaultColWidth="8.7265625" defaultRowHeight="14.5" x14ac:dyDescent="0.35"/>
  <cols>
    <col min="1" max="1" width="24.1796875" style="42" customWidth="1"/>
    <col min="2" max="2" width="33.1796875" style="45" customWidth="1"/>
    <col min="3" max="3" width="10.54296875" style="42" customWidth="1"/>
    <col min="4" max="4" width="9.54296875" style="4" customWidth="1"/>
    <col min="5" max="8" width="6.81640625" style="4" customWidth="1"/>
    <col min="9" max="10" width="6.453125" style="4" bestFit="1" customWidth="1"/>
    <col min="11" max="12" width="6.81640625" style="4" customWidth="1"/>
    <col min="13" max="18" width="7.54296875" style="4" bestFit="1" customWidth="1"/>
    <col min="19" max="30" width="6.7265625" style="4" bestFit="1" customWidth="1"/>
    <col min="31" max="33" width="7.54296875" style="4" bestFit="1" customWidth="1"/>
    <col min="34" max="34" width="6.81640625" style="4" customWidth="1"/>
    <col min="35" max="35" width="11.453125" style="4" customWidth="1"/>
    <col min="36" max="36" width="0.26953125" style="4" customWidth="1"/>
    <col min="37" max="16384" width="8.7265625" style="4"/>
  </cols>
  <sheetData>
    <row r="1" spans="1:35" ht="17" x14ac:dyDescent="0.4">
      <c r="A1" s="74" t="s">
        <v>0</v>
      </c>
      <c r="B1" s="75"/>
      <c r="C1" s="76"/>
      <c r="D1" s="136" t="s">
        <v>1</v>
      </c>
      <c r="E1" s="77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</row>
    <row r="2" spans="1:35" ht="17" x14ac:dyDescent="0.4">
      <c r="A2" s="76" t="s">
        <v>2</v>
      </c>
      <c r="B2" s="79">
        <v>45536</v>
      </c>
      <c r="C2" s="80"/>
      <c r="D2" s="137" t="s">
        <v>3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3" spans="1:35" ht="17" x14ac:dyDescent="0.4">
      <c r="A3" s="76" t="s">
        <v>4</v>
      </c>
      <c r="B3" s="79">
        <v>45565</v>
      </c>
      <c r="C3" s="76"/>
      <c r="D3" s="43" t="s">
        <v>5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1:35" ht="17" x14ac:dyDescent="0.4">
      <c r="A4" s="76"/>
      <c r="B4" s="81"/>
      <c r="C4" s="76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35" ht="17" x14ac:dyDescent="0.4">
      <c r="A5" s="74" t="s">
        <v>6</v>
      </c>
      <c r="B5" s="82" t="s">
        <v>7</v>
      </c>
      <c r="C5" s="76"/>
      <c r="D5" s="83" t="s">
        <v>8</v>
      </c>
      <c r="E5" s="78"/>
      <c r="F5" s="78"/>
      <c r="H5" s="84" t="s">
        <v>9</v>
      </c>
      <c r="I5" s="84"/>
      <c r="J5" s="78"/>
      <c r="K5" s="83" t="s">
        <v>10</v>
      </c>
      <c r="L5" s="78"/>
      <c r="M5" s="78"/>
      <c r="N5" s="152" t="s">
        <v>11</v>
      </c>
      <c r="O5" s="152"/>
      <c r="P5" s="152"/>
      <c r="Q5" s="152"/>
    </row>
    <row r="6" spans="1:35" ht="17" x14ac:dyDescent="0.4">
      <c r="A6" s="74" t="s">
        <v>12</v>
      </c>
      <c r="B6" s="82" t="s">
        <v>13</v>
      </c>
      <c r="C6" s="76"/>
      <c r="D6" s="83" t="s">
        <v>14</v>
      </c>
      <c r="E6" s="78"/>
      <c r="F6" s="78"/>
      <c r="H6" s="84" t="s">
        <v>15</v>
      </c>
      <c r="I6" s="84"/>
      <c r="J6" s="78"/>
      <c r="K6" s="86" t="s">
        <v>16</v>
      </c>
      <c r="L6" s="87"/>
      <c r="M6" s="76"/>
      <c r="N6" s="151" t="s">
        <v>17</v>
      </c>
      <c r="O6" s="151"/>
      <c r="P6" s="151"/>
      <c r="Q6" s="151"/>
      <c r="W6"/>
    </row>
    <row r="7" spans="1:35" s="42" customFormat="1" ht="17.149999999999999" customHeight="1" x14ac:dyDescent="0.35">
      <c r="A7" s="74" t="s">
        <v>18</v>
      </c>
      <c r="B7" s="85" t="s">
        <v>19</v>
      </c>
      <c r="C7" s="76"/>
      <c r="H7" s="76"/>
      <c r="I7" s="76"/>
      <c r="J7" s="76"/>
      <c r="K7" s="76"/>
      <c r="L7" s="76"/>
      <c r="M7" s="76"/>
      <c r="N7" s="76"/>
      <c r="O7" s="76"/>
      <c r="P7" s="76"/>
      <c r="Q7" s="76"/>
    </row>
    <row r="9" spans="1:35" ht="17" x14ac:dyDescent="0.35">
      <c r="A9" s="142" t="s">
        <v>20</v>
      </c>
      <c r="B9" s="143" t="s">
        <v>21</v>
      </c>
      <c r="C9" s="142" t="s">
        <v>22</v>
      </c>
      <c r="D9" s="50" t="str">
        <f t="shared" ref="D9:AG9" si="0">IFERROR(IF(D10="","",TEXT(D10,"ddd")),"")</f>
        <v>Sun</v>
      </c>
      <c r="E9" s="50" t="str">
        <f t="shared" si="0"/>
        <v>Mon</v>
      </c>
      <c r="F9" s="50" t="str">
        <f t="shared" si="0"/>
        <v>Tue</v>
      </c>
      <c r="G9" s="50" t="str">
        <f t="shared" si="0"/>
        <v>Wed</v>
      </c>
      <c r="H9" s="50" t="str">
        <f t="shared" si="0"/>
        <v>Thu</v>
      </c>
      <c r="I9" s="50" t="str">
        <f t="shared" si="0"/>
        <v>Fri</v>
      </c>
      <c r="J9" s="50" t="str">
        <f t="shared" si="0"/>
        <v>Sat</v>
      </c>
      <c r="K9" s="50" t="str">
        <f t="shared" si="0"/>
        <v>Sun</v>
      </c>
      <c r="L9" s="50" t="str">
        <f t="shared" si="0"/>
        <v>Mon</v>
      </c>
      <c r="M9" s="50" t="str">
        <f t="shared" si="0"/>
        <v>Tue</v>
      </c>
      <c r="N9" s="50" t="str">
        <f t="shared" si="0"/>
        <v>Wed</v>
      </c>
      <c r="O9" s="50" t="str">
        <f t="shared" si="0"/>
        <v>Thu</v>
      </c>
      <c r="P9" s="50" t="str">
        <f t="shared" si="0"/>
        <v>Fri</v>
      </c>
      <c r="Q9" s="50" t="str">
        <f t="shared" si="0"/>
        <v>Sat</v>
      </c>
      <c r="R9" s="50" t="str">
        <f t="shared" si="0"/>
        <v>Sun</v>
      </c>
      <c r="S9" s="50" t="str">
        <f t="shared" si="0"/>
        <v>Mon</v>
      </c>
      <c r="T9" s="50" t="str">
        <f t="shared" si="0"/>
        <v>Tue</v>
      </c>
      <c r="U9" s="50" t="str">
        <f t="shared" si="0"/>
        <v>Wed</v>
      </c>
      <c r="V9" s="50" t="str">
        <f t="shared" si="0"/>
        <v>Thu</v>
      </c>
      <c r="W9" s="50" t="str">
        <f t="shared" si="0"/>
        <v>Fri</v>
      </c>
      <c r="X9" s="50" t="str">
        <f t="shared" si="0"/>
        <v>Sat</v>
      </c>
      <c r="Y9" s="50" t="str">
        <f t="shared" si="0"/>
        <v>Sun</v>
      </c>
      <c r="Z9" s="50" t="str">
        <f t="shared" si="0"/>
        <v>Mon</v>
      </c>
      <c r="AA9" s="50" t="str">
        <f t="shared" si="0"/>
        <v>Tue</v>
      </c>
      <c r="AB9" s="50" t="str">
        <f t="shared" si="0"/>
        <v>Wed</v>
      </c>
      <c r="AC9" s="50" t="str">
        <f t="shared" si="0"/>
        <v>Thu</v>
      </c>
      <c r="AD9" s="50" t="str">
        <f t="shared" si="0"/>
        <v>Fri</v>
      </c>
      <c r="AE9" s="50" t="str">
        <f t="shared" si="0"/>
        <v>Sat</v>
      </c>
      <c r="AF9" s="50" t="str">
        <f t="shared" si="0"/>
        <v>Sun</v>
      </c>
      <c r="AG9" s="50" t="str">
        <f t="shared" si="0"/>
        <v>Mon</v>
      </c>
      <c r="AH9" s="143" t="s">
        <v>23</v>
      </c>
      <c r="AI9" s="90" t="s">
        <v>24</v>
      </c>
    </row>
    <row r="10" spans="1:35" ht="17" x14ac:dyDescent="0.35">
      <c r="A10" s="142"/>
      <c r="B10" s="143"/>
      <c r="C10" s="142"/>
      <c r="D10" s="51" cm="1">
        <f t="array" ref="D10:AG10">IFERROR(IF(OR((B3-B2+1)&gt;31,B2="",B3=""),"",_xlfn.SEQUENCE(,B3-B2+1,B2)),"")</f>
        <v>45536</v>
      </c>
      <c r="E10" s="51">
        <v>45537</v>
      </c>
      <c r="F10" s="51">
        <v>45538</v>
      </c>
      <c r="G10" s="51">
        <v>45539</v>
      </c>
      <c r="H10" s="52">
        <v>45540</v>
      </c>
      <c r="I10" s="52">
        <v>45541</v>
      </c>
      <c r="J10" s="52">
        <v>45542</v>
      </c>
      <c r="K10" s="52">
        <v>45543</v>
      </c>
      <c r="L10" s="52">
        <v>45544</v>
      </c>
      <c r="M10" s="52">
        <v>45545</v>
      </c>
      <c r="N10" s="52">
        <v>45546</v>
      </c>
      <c r="O10" s="52">
        <v>45547</v>
      </c>
      <c r="P10" s="52">
        <v>45548</v>
      </c>
      <c r="Q10" s="52">
        <v>45549</v>
      </c>
      <c r="R10" s="52">
        <v>45550</v>
      </c>
      <c r="S10" s="52">
        <v>45551</v>
      </c>
      <c r="T10" s="52">
        <v>45552</v>
      </c>
      <c r="U10" s="52">
        <v>45553</v>
      </c>
      <c r="V10" s="52">
        <v>45554</v>
      </c>
      <c r="W10" s="52">
        <v>45555</v>
      </c>
      <c r="X10" s="52">
        <v>45556</v>
      </c>
      <c r="Y10" s="52">
        <v>45557</v>
      </c>
      <c r="Z10" s="52">
        <v>45558</v>
      </c>
      <c r="AA10" s="52">
        <v>45559</v>
      </c>
      <c r="AB10" s="52">
        <v>45560</v>
      </c>
      <c r="AC10" s="52">
        <v>45561</v>
      </c>
      <c r="AD10" s="52">
        <v>45562</v>
      </c>
      <c r="AE10" s="52">
        <v>45563</v>
      </c>
      <c r="AF10" s="51">
        <v>45564</v>
      </c>
      <c r="AG10" s="51">
        <v>45565</v>
      </c>
      <c r="AH10" s="143"/>
      <c r="AI10" s="90"/>
    </row>
    <row r="11" spans="1:35" ht="17" x14ac:dyDescent="0.4">
      <c r="A11" s="66" t="s">
        <v>25</v>
      </c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5"/>
      <c r="AI11" s="73"/>
    </row>
    <row r="12" spans="1:35" ht="17" x14ac:dyDescent="0.4">
      <c r="A12" s="88" t="s">
        <v>26</v>
      </c>
      <c r="B12" s="89" t="s">
        <v>27</v>
      </c>
      <c r="C12" s="57"/>
      <c r="D12" s="57"/>
      <c r="E12" s="57"/>
      <c r="F12" s="57"/>
      <c r="G12" s="50">
        <v>8</v>
      </c>
      <c r="H12" s="57">
        <v>5</v>
      </c>
      <c r="I12" s="50"/>
      <c r="J12" s="50"/>
      <c r="K12" s="50">
        <v>3</v>
      </c>
      <c r="L12" s="50">
        <v>3</v>
      </c>
      <c r="M12" s="50">
        <v>3</v>
      </c>
      <c r="N12" s="50">
        <v>2</v>
      </c>
      <c r="O12" s="50">
        <v>4</v>
      </c>
      <c r="P12" s="50"/>
      <c r="Q12" s="50"/>
      <c r="R12" s="50">
        <v>2</v>
      </c>
      <c r="S12" s="50"/>
      <c r="T12" s="50"/>
      <c r="U12" s="50">
        <v>2</v>
      </c>
      <c r="V12" s="50">
        <v>1</v>
      </c>
      <c r="W12" s="50"/>
      <c r="X12" s="50"/>
      <c r="Y12" s="50">
        <v>2</v>
      </c>
      <c r="Z12" s="50">
        <v>4</v>
      </c>
      <c r="AA12" s="50">
        <v>1</v>
      </c>
      <c r="AB12" s="50">
        <v>3</v>
      </c>
      <c r="AC12" s="50"/>
      <c r="AD12" s="50">
        <v>1</v>
      </c>
      <c r="AE12" s="50"/>
      <c r="AF12" s="57"/>
      <c r="AG12" s="57">
        <v>1</v>
      </c>
      <c r="AH12" s="58">
        <f>SUM(D12:AG12)</f>
        <v>45</v>
      </c>
      <c r="AI12" s="73"/>
    </row>
    <row r="13" spans="1:35" ht="17" x14ac:dyDescent="0.4">
      <c r="B13" s="89" t="s">
        <v>28</v>
      </c>
      <c r="C13" s="57"/>
      <c r="D13" s="57"/>
      <c r="E13" s="57"/>
      <c r="F13" s="57"/>
      <c r="G13" s="50"/>
      <c r="H13" s="57"/>
      <c r="I13" s="50"/>
      <c r="J13" s="50"/>
      <c r="K13" s="50">
        <v>1</v>
      </c>
      <c r="L13" s="50">
        <v>1</v>
      </c>
      <c r="M13" s="50">
        <v>1</v>
      </c>
      <c r="N13" s="50">
        <v>4</v>
      </c>
      <c r="O13" s="50">
        <v>3</v>
      </c>
      <c r="P13" s="50"/>
      <c r="Q13" s="50"/>
      <c r="R13" s="50">
        <v>4</v>
      </c>
      <c r="S13" s="50"/>
      <c r="T13" s="50"/>
      <c r="U13" s="50">
        <v>4</v>
      </c>
      <c r="V13" s="50">
        <v>4</v>
      </c>
      <c r="W13" s="50"/>
      <c r="X13" s="50"/>
      <c r="Y13" s="50">
        <v>3</v>
      </c>
      <c r="Z13" s="50">
        <v>2</v>
      </c>
      <c r="AA13" s="50">
        <v>2</v>
      </c>
      <c r="AB13" s="50">
        <v>3</v>
      </c>
      <c r="AC13" s="50">
        <v>5</v>
      </c>
      <c r="AD13" s="50">
        <v>2</v>
      </c>
      <c r="AE13" s="50"/>
      <c r="AF13" s="57"/>
      <c r="AG13" s="57">
        <v>3</v>
      </c>
      <c r="AH13" s="58">
        <f>SUM(D13:AG13)</f>
        <v>42</v>
      </c>
      <c r="AI13" s="73"/>
    </row>
    <row r="14" spans="1:35" ht="34" x14ac:dyDescent="0.4">
      <c r="A14" s="89" t="s">
        <v>29</v>
      </c>
      <c r="B14" s="89" t="s">
        <v>30</v>
      </c>
      <c r="C14" s="57"/>
      <c r="D14" s="57"/>
      <c r="E14" s="57"/>
      <c r="F14" s="57"/>
      <c r="G14" s="50"/>
      <c r="H14" s="57"/>
      <c r="I14" s="50"/>
      <c r="J14" s="50"/>
      <c r="K14" s="50">
        <v>2</v>
      </c>
      <c r="L14" s="50">
        <v>1</v>
      </c>
      <c r="M14" s="50">
        <v>1</v>
      </c>
      <c r="N14" s="50">
        <v>1</v>
      </c>
      <c r="O14" s="50">
        <v>1</v>
      </c>
      <c r="P14" s="50"/>
      <c r="Q14" s="50"/>
      <c r="R14" s="50">
        <v>1</v>
      </c>
      <c r="S14" s="50"/>
      <c r="T14" s="50"/>
      <c r="U14" s="50">
        <v>1</v>
      </c>
      <c r="V14" s="50">
        <v>1</v>
      </c>
      <c r="W14" s="50"/>
      <c r="X14" s="50"/>
      <c r="Y14" s="50">
        <v>0</v>
      </c>
      <c r="Z14" s="50">
        <v>0</v>
      </c>
      <c r="AA14" s="50">
        <v>0</v>
      </c>
      <c r="AB14" s="50">
        <v>5</v>
      </c>
      <c r="AC14" s="50"/>
      <c r="AD14" s="50">
        <v>0</v>
      </c>
      <c r="AE14" s="50"/>
      <c r="AF14" s="57"/>
      <c r="AG14" s="57">
        <v>2</v>
      </c>
      <c r="AH14" s="58">
        <f>SUM(D14:AG14)</f>
        <v>16</v>
      </c>
      <c r="AI14" s="73"/>
    </row>
    <row r="15" spans="1:35" ht="17" x14ac:dyDescent="0.4">
      <c r="A15" s="67"/>
      <c r="B15" s="56"/>
      <c r="C15" s="57"/>
      <c r="D15" s="57"/>
      <c r="E15" s="57"/>
      <c r="F15" s="57"/>
      <c r="G15" s="50"/>
      <c r="H15" s="57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7"/>
      <c r="AG15" s="57"/>
      <c r="AH15" s="58"/>
      <c r="AI15" s="73"/>
    </row>
    <row r="16" spans="1:35" ht="17" x14ac:dyDescent="0.4">
      <c r="A16" s="67"/>
      <c r="B16" s="56"/>
      <c r="C16" s="57"/>
      <c r="D16" s="57"/>
      <c r="E16" s="57"/>
      <c r="F16" s="57"/>
      <c r="G16" s="50"/>
      <c r="H16" s="57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7"/>
      <c r="AG16" s="57"/>
      <c r="AH16" s="58"/>
      <c r="AI16" s="73"/>
    </row>
    <row r="17" spans="1:36" ht="17" x14ac:dyDescent="0.4">
      <c r="A17" s="66" t="s">
        <v>31</v>
      </c>
      <c r="B17" s="59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5"/>
      <c r="AI17" s="73"/>
    </row>
    <row r="18" spans="1:36" ht="17" x14ac:dyDescent="0.4">
      <c r="A18" s="67" t="s">
        <v>32</v>
      </c>
      <c r="B18" s="56" t="s">
        <v>33</v>
      </c>
      <c r="C18" s="57" t="s">
        <v>34</v>
      </c>
      <c r="D18" s="57"/>
      <c r="E18" s="57"/>
      <c r="F18" s="57"/>
      <c r="G18" s="50"/>
      <c r="H18" s="57">
        <v>3</v>
      </c>
      <c r="I18" s="50"/>
      <c r="J18" s="50"/>
      <c r="K18" s="50">
        <v>1</v>
      </c>
      <c r="L18" s="50">
        <v>2</v>
      </c>
      <c r="M18" s="50">
        <v>2</v>
      </c>
      <c r="N18" s="50"/>
      <c r="O18" s="50"/>
      <c r="P18" s="50"/>
      <c r="Q18" s="50"/>
      <c r="R18" s="50">
        <v>1</v>
      </c>
      <c r="S18" s="50"/>
      <c r="T18" s="50"/>
      <c r="U18" s="50">
        <v>1</v>
      </c>
      <c r="V18" s="50">
        <v>2</v>
      </c>
      <c r="W18" s="50"/>
      <c r="X18" s="50"/>
      <c r="Y18" s="50">
        <v>1</v>
      </c>
      <c r="Z18" s="50">
        <v>2</v>
      </c>
      <c r="AA18" s="50">
        <v>4</v>
      </c>
      <c r="AB18" s="50">
        <v>2</v>
      </c>
      <c r="AC18" s="50"/>
      <c r="AD18" s="50">
        <v>4</v>
      </c>
      <c r="AE18" s="50"/>
      <c r="AF18" s="57"/>
      <c r="AG18" s="57"/>
      <c r="AH18" s="58">
        <f>SUM(D18:AG18)</f>
        <v>25</v>
      </c>
      <c r="AI18" s="73"/>
    </row>
    <row r="19" spans="1:36" ht="17" x14ac:dyDescent="0.4">
      <c r="A19" s="67" t="s">
        <v>32</v>
      </c>
      <c r="B19" s="56" t="s">
        <v>35</v>
      </c>
      <c r="C19" s="57" t="s">
        <v>36</v>
      </c>
      <c r="D19" s="57"/>
      <c r="E19" s="57"/>
      <c r="F19" s="57"/>
      <c r="G19" s="50"/>
      <c r="H19" s="57"/>
      <c r="I19" s="50">
        <v>2</v>
      </c>
      <c r="J19" s="50"/>
      <c r="K19" s="50">
        <v>1</v>
      </c>
      <c r="L19" s="50"/>
      <c r="M19" s="50"/>
      <c r="N19" s="50"/>
      <c r="O19" s="50"/>
      <c r="P19" s="50">
        <v>1</v>
      </c>
      <c r="Q19" s="50">
        <v>1</v>
      </c>
      <c r="R19" s="50"/>
      <c r="S19" s="50"/>
      <c r="T19" s="50"/>
      <c r="U19" s="50"/>
      <c r="V19" s="50"/>
      <c r="W19" s="50"/>
      <c r="X19" s="50"/>
      <c r="Y19" s="50">
        <v>1</v>
      </c>
      <c r="Z19" s="50">
        <v>1</v>
      </c>
      <c r="AA19" s="50"/>
      <c r="AB19" s="50"/>
      <c r="AC19" s="50"/>
      <c r="AD19" s="50"/>
      <c r="AE19" s="50"/>
      <c r="AF19" s="57"/>
      <c r="AG19" s="57"/>
      <c r="AH19" s="58">
        <f>SUM(D19:AG19)</f>
        <v>7</v>
      </c>
      <c r="AI19" s="73"/>
    </row>
    <row r="20" spans="1:36" ht="17" x14ac:dyDescent="0.4">
      <c r="A20" s="67" t="s">
        <v>32</v>
      </c>
      <c r="B20" s="56" t="s">
        <v>35</v>
      </c>
      <c r="C20" s="57" t="s">
        <v>37</v>
      </c>
      <c r="D20" s="57"/>
      <c r="E20" s="57"/>
      <c r="F20" s="57"/>
      <c r="G20" s="50"/>
      <c r="H20" s="57"/>
      <c r="I20" s="50">
        <v>2</v>
      </c>
      <c r="J20" s="50"/>
      <c r="K20" s="50">
        <v>2</v>
      </c>
      <c r="L20" s="50">
        <v>1</v>
      </c>
      <c r="M20" s="50">
        <v>1</v>
      </c>
      <c r="N20" s="50">
        <v>3</v>
      </c>
      <c r="O20" s="50"/>
      <c r="P20" s="50">
        <v>1</v>
      </c>
      <c r="Q20" s="50">
        <v>1</v>
      </c>
      <c r="R20" s="50"/>
      <c r="S20" s="50"/>
      <c r="T20" s="50"/>
      <c r="U20" s="50"/>
      <c r="V20" s="50"/>
      <c r="W20" s="50"/>
      <c r="X20" s="50"/>
      <c r="Y20" s="50">
        <v>3</v>
      </c>
      <c r="Z20" s="50">
        <v>1</v>
      </c>
      <c r="AA20" s="50">
        <v>1</v>
      </c>
      <c r="AB20" s="50">
        <v>6</v>
      </c>
      <c r="AC20" s="50"/>
      <c r="AD20" s="50">
        <v>1</v>
      </c>
      <c r="AE20" s="50"/>
      <c r="AF20" s="57"/>
      <c r="AG20" s="57">
        <v>2</v>
      </c>
      <c r="AH20" s="58">
        <f>SUM(D20:AG20)</f>
        <v>25</v>
      </c>
      <c r="AI20" s="73"/>
    </row>
    <row r="21" spans="1:36" ht="13.5" customHeight="1" x14ac:dyDescent="0.4">
      <c r="A21" s="68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2"/>
      <c r="AH21" s="62"/>
      <c r="AI21" s="73"/>
    </row>
    <row r="22" spans="1:36" ht="17" x14ac:dyDescent="0.4">
      <c r="A22" s="144" t="s">
        <v>38</v>
      </c>
      <c r="B22" s="145"/>
      <c r="C22" s="146"/>
      <c r="D22" s="57"/>
      <c r="E22" s="57">
        <v>8</v>
      </c>
      <c r="F22" s="57"/>
      <c r="G22" s="50"/>
      <c r="H22" s="57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>
        <v>8</v>
      </c>
      <c r="U22" s="50"/>
      <c r="V22" s="50"/>
      <c r="W22" s="50">
        <v>8</v>
      </c>
      <c r="X22" s="50"/>
      <c r="Y22" s="50"/>
      <c r="Z22" s="50"/>
      <c r="AA22" s="50"/>
      <c r="AB22" s="50"/>
      <c r="AC22" s="50"/>
      <c r="AD22" s="50"/>
      <c r="AE22" s="50"/>
      <c r="AF22" s="57"/>
      <c r="AG22" s="57"/>
      <c r="AH22" s="58">
        <f>SUM(D22:AG22)</f>
        <v>24</v>
      </c>
      <c r="AI22" s="73"/>
    </row>
    <row r="23" spans="1:36" ht="17" x14ac:dyDescent="0.4">
      <c r="A23" s="144" t="s">
        <v>39</v>
      </c>
      <c r="B23" s="145"/>
      <c r="C23" s="146"/>
      <c r="D23" s="57"/>
      <c r="E23" s="57"/>
      <c r="F23" s="57">
        <v>8</v>
      </c>
      <c r="G23" s="50"/>
      <c r="H23" s="57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7"/>
      <c r="AG23" s="57"/>
      <c r="AH23" s="58">
        <f>SUM(D23:AG23)</f>
        <v>8</v>
      </c>
      <c r="AI23" s="73"/>
    </row>
    <row r="24" spans="1:36" ht="17" x14ac:dyDescent="0.4">
      <c r="A24" s="147" t="s">
        <v>40</v>
      </c>
      <c r="B24" s="148"/>
      <c r="C24" s="149"/>
      <c r="D24" s="57"/>
      <c r="E24" s="57"/>
      <c r="F24" s="57"/>
      <c r="G24" s="50"/>
      <c r="H24" s="57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>
        <v>8</v>
      </c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7"/>
      <c r="AG24" s="57"/>
      <c r="AH24" s="58">
        <f>SUM(D24:AG24)</f>
        <v>8</v>
      </c>
      <c r="AI24" s="73"/>
    </row>
    <row r="25" spans="1:36" ht="17" x14ac:dyDescent="0.4">
      <c r="A25" s="144" t="s">
        <v>41</v>
      </c>
      <c r="B25" s="145"/>
      <c r="C25" s="146"/>
      <c r="D25" s="57"/>
      <c r="E25" s="57">
        <f t="shared" ref="E25:AB25" si="1">SUM(E11:E20)</f>
        <v>0</v>
      </c>
      <c r="F25" s="57">
        <f t="shared" si="1"/>
        <v>0</v>
      </c>
      <c r="G25" s="57">
        <f t="shared" si="1"/>
        <v>8</v>
      </c>
      <c r="H25" s="57">
        <f t="shared" si="1"/>
        <v>8</v>
      </c>
      <c r="I25" s="50">
        <f t="shared" si="1"/>
        <v>4</v>
      </c>
      <c r="J25" s="50">
        <f>SUM(J11:J20)</f>
        <v>0</v>
      </c>
      <c r="K25" s="50">
        <f t="shared" si="1"/>
        <v>10</v>
      </c>
      <c r="L25" s="50">
        <f t="shared" si="1"/>
        <v>8</v>
      </c>
      <c r="M25" s="50">
        <f t="shared" si="1"/>
        <v>8</v>
      </c>
      <c r="N25" s="50">
        <f>SUM(N11:N20)</f>
        <v>10</v>
      </c>
      <c r="O25" s="50">
        <f t="shared" si="1"/>
        <v>8</v>
      </c>
      <c r="P25" s="50">
        <f t="shared" si="1"/>
        <v>2</v>
      </c>
      <c r="Q25" s="50">
        <f t="shared" si="1"/>
        <v>2</v>
      </c>
      <c r="R25" s="50">
        <f t="shared" si="1"/>
        <v>8</v>
      </c>
      <c r="S25" s="50">
        <f t="shared" si="1"/>
        <v>0</v>
      </c>
      <c r="T25" s="50">
        <f t="shared" si="1"/>
        <v>0</v>
      </c>
      <c r="U25" s="50">
        <f t="shared" si="1"/>
        <v>8</v>
      </c>
      <c r="V25" s="50">
        <f t="shared" si="1"/>
        <v>8</v>
      </c>
      <c r="W25" s="50">
        <f>SUM(W11:W20)</f>
        <v>0</v>
      </c>
      <c r="X25" s="50">
        <f t="shared" si="1"/>
        <v>0</v>
      </c>
      <c r="Y25" s="50">
        <f t="shared" si="1"/>
        <v>10</v>
      </c>
      <c r="Z25" s="50">
        <f t="shared" si="1"/>
        <v>10</v>
      </c>
      <c r="AA25" s="50">
        <f t="shared" si="1"/>
        <v>8</v>
      </c>
      <c r="AB25" s="50">
        <f t="shared" si="1"/>
        <v>19</v>
      </c>
      <c r="AC25" s="50">
        <f>SUM(AC11:AC20)</f>
        <v>5</v>
      </c>
      <c r="AD25" s="50">
        <f>SUM(AD11:AD20)</f>
        <v>8</v>
      </c>
      <c r="AE25" s="50">
        <f>SUM(AE11:AE20)</f>
        <v>0</v>
      </c>
      <c r="AF25" s="57">
        <f>SUM(AF11:AF20)</f>
        <v>0</v>
      </c>
      <c r="AG25" s="57">
        <f>SUM(AG11:AG20)</f>
        <v>8</v>
      </c>
      <c r="AH25" s="58">
        <f>SUM(D25:AG25)</f>
        <v>160</v>
      </c>
      <c r="AI25" s="73"/>
    </row>
    <row r="26" spans="1:36" ht="15" thickBot="1" x14ac:dyDescent="0.4"/>
    <row r="27" spans="1:36" s="93" customFormat="1" ht="18" customHeight="1" x14ac:dyDescent="0.35">
      <c r="A27" s="91"/>
      <c r="B27" s="92" t="s">
        <v>42</v>
      </c>
      <c r="D27" s="4"/>
      <c r="E27" s="153"/>
      <c r="F27" s="153"/>
      <c r="G27" s="153"/>
      <c r="H27" s="153"/>
      <c r="I27" s="153"/>
      <c r="J27" s="153"/>
      <c r="S27" s="172" t="s">
        <v>43</v>
      </c>
      <c r="T27" s="173"/>
      <c r="U27" s="173"/>
      <c r="V27" s="173"/>
      <c r="W27" s="173"/>
      <c r="X27" s="173"/>
      <c r="Y27" s="173"/>
      <c r="Z27" s="173"/>
      <c r="AA27" s="174"/>
      <c r="AC27" s="180" t="s">
        <v>44</v>
      </c>
      <c r="AD27" s="181"/>
      <c r="AE27" s="181"/>
      <c r="AF27" s="181"/>
      <c r="AG27" s="181"/>
      <c r="AH27" s="181"/>
      <c r="AI27" s="181"/>
      <c r="AJ27" s="182"/>
    </row>
    <row r="28" spans="1:36" ht="15.65" customHeight="1" x14ac:dyDescent="0.35">
      <c r="A28" s="69"/>
      <c r="B28" s="49" t="s">
        <v>45</v>
      </c>
      <c r="E28" s="153"/>
      <c r="F28" s="153"/>
      <c r="G28" s="153"/>
      <c r="H28" s="153"/>
      <c r="I28" s="153"/>
      <c r="J28" s="153"/>
      <c r="S28" s="163" t="s">
        <v>46</v>
      </c>
      <c r="T28" s="164"/>
      <c r="U28" s="154" t="s">
        <v>47</v>
      </c>
      <c r="V28" s="155"/>
      <c r="W28" s="155"/>
      <c r="X28" s="155"/>
      <c r="Y28" s="155"/>
      <c r="Z28" s="155"/>
      <c r="AA28" s="156"/>
      <c r="AC28" s="169" t="s">
        <v>48</v>
      </c>
      <c r="AD28" s="155"/>
      <c r="AE28" s="155"/>
      <c r="AF28" s="155"/>
      <c r="AG28" s="155"/>
      <c r="AH28" s="155"/>
      <c r="AI28" s="155"/>
      <c r="AJ28" s="156"/>
    </row>
    <row r="29" spans="1:36" ht="18.649999999999999" customHeight="1" x14ac:dyDescent="0.35">
      <c r="A29" s="70"/>
      <c r="B29" s="49" t="s">
        <v>49</v>
      </c>
      <c r="E29" s="153"/>
      <c r="F29" s="153"/>
      <c r="G29" s="153"/>
      <c r="H29" s="153"/>
      <c r="I29" s="153"/>
      <c r="J29" s="153"/>
      <c r="S29" s="165"/>
      <c r="T29" s="166"/>
      <c r="U29" s="157"/>
      <c r="V29" s="158"/>
      <c r="W29" s="158"/>
      <c r="X29" s="158"/>
      <c r="Y29" s="158"/>
      <c r="Z29" s="158"/>
      <c r="AA29" s="159"/>
      <c r="AC29" s="170"/>
      <c r="AD29" s="158"/>
      <c r="AE29" s="158"/>
      <c r="AF29" s="158"/>
      <c r="AG29" s="158"/>
      <c r="AH29" s="158"/>
      <c r="AI29" s="158"/>
      <c r="AJ29" s="159"/>
    </row>
    <row r="30" spans="1:36" ht="18.649999999999999" customHeight="1" x14ac:dyDescent="0.35">
      <c r="A30" s="71"/>
      <c r="B30" s="49" t="s">
        <v>50</v>
      </c>
      <c r="E30" s="153"/>
      <c r="F30" s="153"/>
      <c r="G30" s="153"/>
      <c r="H30" s="153"/>
      <c r="I30" s="153"/>
      <c r="J30" s="153"/>
      <c r="S30" s="165"/>
      <c r="T30" s="166"/>
      <c r="U30" s="157"/>
      <c r="V30" s="158"/>
      <c r="W30" s="158"/>
      <c r="X30" s="158"/>
      <c r="Y30" s="158"/>
      <c r="Z30" s="158"/>
      <c r="AA30" s="159"/>
      <c r="AC30" s="170"/>
      <c r="AD30" s="158"/>
      <c r="AE30" s="158"/>
      <c r="AF30" s="158"/>
      <c r="AG30" s="158"/>
      <c r="AH30" s="158"/>
      <c r="AI30" s="158"/>
      <c r="AJ30" s="159"/>
    </row>
    <row r="31" spans="1:36" ht="19" customHeight="1" x14ac:dyDescent="0.35">
      <c r="S31" s="165"/>
      <c r="T31" s="166"/>
      <c r="U31" s="157"/>
      <c r="V31" s="158"/>
      <c r="W31" s="158"/>
      <c r="X31" s="158"/>
      <c r="Y31" s="158"/>
      <c r="Z31" s="158"/>
      <c r="AA31" s="159"/>
      <c r="AC31" s="170"/>
      <c r="AD31" s="158"/>
      <c r="AE31" s="158"/>
      <c r="AF31" s="158"/>
      <c r="AG31" s="158"/>
      <c r="AH31" s="158"/>
      <c r="AI31" s="158"/>
      <c r="AJ31" s="159"/>
    </row>
    <row r="32" spans="1:36" ht="18.5" x14ac:dyDescent="0.45">
      <c r="A32" s="72" t="s">
        <v>51</v>
      </c>
      <c r="B32" s="46"/>
      <c r="C32" s="63"/>
      <c r="D32" s="44"/>
      <c r="E32" s="44"/>
      <c r="F32" s="44"/>
      <c r="G32" s="44"/>
      <c r="H32" s="44"/>
      <c r="S32" s="175"/>
      <c r="T32" s="176"/>
      <c r="U32" s="177"/>
      <c r="V32" s="178"/>
      <c r="W32" s="178"/>
      <c r="X32" s="178"/>
      <c r="Y32" s="178"/>
      <c r="Z32" s="178"/>
      <c r="AA32" s="179"/>
      <c r="AC32" s="183"/>
      <c r="AD32" s="178"/>
      <c r="AE32" s="178"/>
      <c r="AF32" s="178"/>
      <c r="AG32" s="178"/>
      <c r="AH32" s="178"/>
      <c r="AI32" s="178"/>
      <c r="AJ32" s="179"/>
    </row>
    <row r="33" spans="1:36" ht="18.649999999999999" customHeight="1" x14ac:dyDescent="0.45">
      <c r="A33" s="150" t="s">
        <v>52</v>
      </c>
      <c r="B33" s="150"/>
      <c r="C33" s="63">
        <f>COUNTIF(D24:AG24,"=8")</f>
        <v>1</v>
      </c>
      <c r="D33" s="44"/>
      <c r="E33" s="44"/>
      <c r="F33" s="44"/>
      <c r="G33" s="44"/>
      <c r="H33" s="44"/>
      <c r="S33" s="163" t="s">
        <v>53</v>
      </c>
      <c r="T33" s="164"/>
      <c r="U33" s="154" t="s">
        <v>54</v>
      </c>
      <c r="V33" s="155"/>
      <c r="W33" s="155"/>
      <c r="X33" s="155"/>
      <c r="Y33" s="155"/>
      <c r="Z33" s="155"/>
      <c r="AA33" s="156"/>
      <c r="AC33" s="169" t="s">
        <v>55</v>
      </c>
      <c r="AD33" s="155"/>
      <c r="AE33" s="155"/>
      <c r="AF33" s="155"/>
      <c r="AG33" s="155"/>
      <c r="AH33" s="155"/>
      <c r="AI33" s="155"/>
      <c r="AJ33" s="156"/>
    </row>
    <row r="34" spans="1:36" ht="18.5" x14ac:dyDescent="0.45">
      <c r="A34" s="63" t="s">
        <v>56</v>
      </c>
      <c r="B34" s="47"/>
      <c r="C34" s="64">
        <f>NETWORKDAYS(B2,B3)-C33</f>
        <v>20</v>
      </c>
      <c r="D34" s="44"/>
      <c r="E34" s="44"/>
      <c r="F34" s="44"/>
      <c r="G34" s="44"/>
      <c r="H34" s="44"/>
      <c r="S34" s="165"/>
      <c r="T34" s="166"/>
      <c r="U34" s="157"/>
      <c r="V34" s="158"/>
      <c r="W34" s="158"/>
      <c r="X34" s="158"/>
      <c r="Y34" s="158"/>
      <c r="Z34" s="158"/>
      <c r="AA34" s="159"/>
      <c r="AC34" s="170"/>
      <c r="AD34" s="158"/>
      <c r="AE34" s="158"/>
      <c r="AF34" s="158"/>
      <c r="AG34" s="158"/>
      <c r="AH34" s="158"/>
      <c r="AI34" s="158"/>
      <c r="AJ34" s="159"/>
    </row>
    <row r="35" spans="1:36" ht="18.5" x14ac:dyDescent="0.45">
      <c r="A35" s="63" t="s">
        <v>57</v>
      </c>
      <c r="B35" s="47"/>
      <c r="C35" s="63">
        <f>AH23/8</f>
        <v>1</v>
      </c>
      <c r="D35" s="44"/>
      <c r="E35" s="44"/>
      <c r="F35" s="44"/>
      <c r="G35" s="44"/>
      <c r="H35" s="44"/>
      <c r="S35" s="165"/>
      <c r="T35" s="166"/>
      <c r="U35" s="157"/>
      <c r="V35" s="158"/>
      <c r="W35" s="158"/>
      <c r="X35" s="158"/>
      <c r="Y35" s="158"/>
      <c r="Z35" s="158"/>
      <c r="AA35" s="159"/>
      <c r="AC35" s="170"/>
      <c r="AD35" s="158"/>
      <c r="AE35" s="158"/>
      <c r="AF35" s="158"/>
      <c r="AG35" s="158"/>
      <c r="AH35" s="158"/>
      <c r="AI35" s="158"/>
      <c r="AJ35" s="159"/>
    </row>
    <row r="36" spans="1:36" ht="18.5" x14ac:dyDescent="0.45">
      <c r="A36" s="63" t="s">
        <v>58</v>
      </c>
      <c r="B36" s="47"/>
      <c r="C36" s="63">
        <f>AH22/8</f>
        <v>3</v>
      </c>
      <c r="D36" s="44"/>
      <c r="E36" s="44"/>
      <c r="F36" s="44"/>
      <c r="G36" s="44"/>
      <c r="H36" s="44"/>
      <c r="S36" s="165"/>
      <c r="T36" s="166"/>
      <c r="U36" s="157"/>
      <c r="V36" s="158"/>
      <c r="W36" s="158"/>
      <c r="X36" s="158"/>
      <c r="Y36" s="158"/>
      <c r="Z36" s="158"/>
      <c r="AA36" s="159"/>
      <c r="AC36" s="170"/>
      <c r="AD36" s="158"/>
      <c r="AE36" s="158"/>
      <c r="AF36" s="158"/>
      <c r="AG36" s="158"/>
      <c r="AH36" s="158"/>
      <c r="AI36" s="158"/>
      <c r="AJ36" s="159"/>
    </row>
    <row r="37" spans="1:36" ht="38.15" customHeight="1" thickBot="1" x14ac:dyDescent="0.5">
      <c r="A37" s="141" t="s">
        <v>59</v>
      </c>
      <c r="B37" s="141"/>
      <c r="C37" s="63">
        <f>COUNTIF(D25:AG25,"&gt;0")</f>
        <v>20</v>
      </c>
      <c r="D37" s="44"/>
      <c r="E37" s="44"/>
      <c r="F37" s="44"/>
      <c r="G37" s="44"/>
      <c r="H37" s="44"/>
      <c r="S37" s="167"/>
      <c r="T37" s="168"/>
      <c r="U37" s="160"/>
      <c r="V37" s="161"/>
      <c r="W37" s="161"/>
      <c r="X37" s="161"/>
      <c r="Y37" s="161"/>
      <c r="Z37" s="161"/>
      <c r="AA37" s="162"/>
      <c r="AC37" s="171"/>
      <c r="AD37" s="161"/>
      <c r="AE37" s="161"/>
      <c r="AF37" s="161"/>
      <c r="AG37" s="161"/>
      <c r="AH37" s="161"/>
      <c r="AI37" s="161"/>
      <c r="AJ37" s="162"/>
    </row>
    <row r="38" spans="1:36" ht="18.5" x14ac:dyDescent="0.45">
      <c r="A38" s="63" t="s">
        <v>60</v>
      </c>
      <c r="B38" s="47"/>
      <c r="C38" s="65">
        <f>C37/(C37+C35+C36)</f>
        <v>0.83333333333333337</v>
      </c>
      <c r="D38" s="44"/>
      <c r="E38" s="44"/>
      <c r="F38" s="44"/>
      <c r="G38" s="44"/>
      <c r="H38" s="44"/>
    </row>
    <row r="39" spans="1:36" ht="18.5" x14ac:dyDescent="0.45">
      <c r="A39" s="63"/>
      <c r="B39" s="47"/>
      <c r="C39" s="63"/>
      <c r="D39" s="44"/>
      <c r="E39" s="44"/>
      <c r="F39" s="44"/>
      <c r="G39" s="44"/>
      <c r="H39" s="44"/>
    </row>
    <row r="40" spans="1:36" ht="18.5" x14ac:dyDescent="0.45">
      <c r="A40" s="72" t="s">
        <v>61</v>
      </c>
      <c r="B40" s="46"/>
      <c r="C40" s="63"/>
      <c r="D40" s="44"/>
      <c r="E40" s="44"/>
      <c r="F40" s="44"/>
      <c r="G40" s="44"/>
      <c r="H40" s="44"/>
    </row>
    <row r="41" spans="1:36" ht="35.5" customHeight="1" x14ac:dyDescent="0.45">
      <c r="A41" s="141" t="s">
        <v>62</v>
      </c>
      <c r="B41" s="141"/>
      <c r="C41" s="63">
        <f>AH25</f>
        <v>160</v>
      </c>
      <c r="D41" s="44"/>
      <c r="E41" s="44"/>
      <c r="F41" s="44"/>
      <c r="G41" s="44"/>
      <c r="H41" s="44"/>
    </row>
    <row r="42" spans="1:36" ht="38.15" customHeight="1" x14ac:dyDescent="0.45">
      <c r="A42" s="141" t="s">
        <v>63</v>
      </c>
      <c r="B42" s="141"/>
      <c r="C42" s="63">
        <v>45</v>
      </c>
      <c r="D42" s="44"/>
      <c r="E42" s="44"/>
      <c r="F42" s="44"/>
      <c r="G42" s="44"/>
      <c r="H42" s="44"/>
    </row>
    <row r="43" spans="1:36" ht="18.5" x14ac:dyDescent="0.45">
      <c r="A43" s="63" t="s">
        <v>64</v>
      </c>
      <c r="B43" s="48"/>
      <c r="C43" s="63">
        <f>SUMIFS($AH$12:$AH$20, $C$12:$C$20, "Morning")</f>
        <v>25</v>
      </c>
      <c r="D43" s="44"/>
      <c r="E43" s="44"/>
      <c r="F43" s="44"/>
      <c r="G43" s="44"/>
      <c r="H43" s="44"/>
    </row>
    <row r="44" spans="1:36" ht="18.5" x14ac:dyDescent="0.45">
      <c r="A44" s="63" t="s">
        <v>65</v>
      </c>
      <c r="B44" s="48"/>
      <c r="C44" s="63">
        <f>SUMIFS($AH$12:$AH$20, $C$12:$C$20, "Afternoon")</f>
        <v>7</v>
      </c>
      <c r="D44" s="44"/>
      <c r="E44" s="44"/>
      <c r="F44" s="44"/>
      <c r="G44" s="44"/>
      <c r="H44" s="44"/>
      <c r="I44" s="44"/>
      <c r="J44" s="44"/>
    </row>
    <row r="45" spans="1:36" ht="18.5" x14ac:dyDescent="0.45">
      <c r="A45" s="63" t="s">
        <v>66</v>
      </c>
      <c r="B45" s="48"/>
      <c r="C45" s="63">
        <f>SUMIFS($AH$12:$AH$20, $C$12:$C$20, "Night")</f>
        <v>25</v>
      </c>
      <c r="D45" s="44"/>
      <c r="E45" s="44"/>
      <c r="F45" s="44"/>
      <c r="G45" s="44"/>
      <c r="H45" s="44"/>
      <c r="I45" s="44"/>
      <c r="J45" s="44"/>
    </row>
    <row r="46" spans="1:36" ht="18.5" x14ac:dyDescent="0.45">
      <c r="A46" s="63"/>
      <c r="B46" s="47"/>
      <c r="C46" s="63"/>
      <c r="D46" s="44"/>
      <c r="E46" s="44"/>
      <c r="F46" s="44"/>
      <c r="G46" s="44"/>
      <c r="H46" s="44"/>
      <c r="I46" s="44"/>
      <c r="J46" s="44"/>
    </row>
    <row r="47" spans="1:36" ht="18.5" x14ac:dyDescent="0.45">
      <c r="A47" s="72" t="s">
        <v>67</v>
      </c>
      <c r="B47" s="46"/>
      <c r="C47" s="63"/>
      <c r="D47" s="44"/>
      <c r="E47" s="44"/>
      <c r="F47" s="44"/>
      <c r="G47" s="44"/>
      <c r="H47" s="44"/>
      <c r="I47" s="44"/>
      <c r="J47" s="44"/>
    </row>
    <row r="48" spans="1:36" ht="18.5" x14ac:dyDescent="0.45">
      <c r="A48" s="63" t="s">
        <v>68</v>
      </c>
      <c r="B48" s="47"/>
      <c r="C48" s="63"/>
      <c r="D48" s="44"/>
      <c r="E48" s="44"/>
      <c r="F48" s="44"/>
      <c r="G48" s="44"/>
      <c r="H48" s="44"/>
      <c r="I48" s="44"/>
      <c r="J48" s="44"/>
    </row>
    <row r="49" spans="1:10" ht="18.5" x14ac:dyDescent="0.45">
      <c r="A49" s="63" t="s">
        <v>69</v>
      </c>
      <c r="B49" s="47"/>
      <c r="C49" s="63"/>
      <c r="D49" s="44"/>
      <c r="E49" s="44"/>
      <c r="F49" s="44"/>
      <c r="G49" s="44"/>
      <c r="H49" s="44"/>
      <c r="I49" s="44"/>
      <c r="J49" s="44"/>
    </row>
    <row r="50" spans="1:10" ht="18.5" x14ac:dyDescent="0.45">
      <c r="A50" s="63"/>
      <c r="B50" s="47"/>
      <c r="C50" s="63"/>
      <c r="D50" s="44"/>
      <c r="E50" s="44"/>
      <c r="F50" s="44"/>
      <c r="G50" s="44"/>
      <c r="H50" s="44"/>
      <c r="I50" s="44"/>
      <c r="J50" s="44"/>
    </row>
    <row r="52" spans="1:10" ht="155.5" customHeight="1" x14ac:dyDescent="0.35"/>
    <row r="53" spans="1:10" ht="169" customHeight="1" x14ac:dyDescent="0.35"/>
  </sheetData>
  <mergeCells count="23">
    <mergeCell ref="AH9:AH10"/>
    <mergeCell ref="A33:B33"/>
    <mergeCell ref="N6:Q6"/>
    <mergeCell ref="N5:Q5"/>
    <mergeCell ref="E27:J30"/>
    <mergeCell ref="U33:AA37"/>
    <mergeCell ref="S33:T37"/>
    <mergeCell ref="AC33:AJ37"/>
    <mergeCell ref="S27:AA27"/>
    <mergeCell ref="S28:T32"/>
    <mergeCell ref="U28:AA32"/>
    <mergeCell ref="AC27:AJ27"/>
    <mergeCell ref="AC28:AJ32"/>
    <mergeCell ref="A37:B37"/>
    <mergeCell ref="A41:B41"/>
    <mergeCell ref="A42:B42"/>
    <mergeCell ref="A9:A10"/>
    <mergeCell ref="B9:B10"/>
    <mergeCell ref="A22:C22"/>
    <mergeCell ref="A23:C23"/>
    <mergeCell ref="A24:C24"/>
    <mergeCell ref="A25:C25"/>
    <mergeCell ref="C9:C10"/>
  </mergeCells>
  <conditionalFormatting sqref="B2:B3">
    <cfRule type="expression" dxfId="11" priority="26">
      <formula>B2=""</formula>
    </cfRule>
  </conditionalFormatting>
  <conditionalFormatting sqref="B3">
    <cfRule type="expression" dxfId="10" priority="27">
      <formula>TEXT(B3,"mmm")&lt;&gt;#REF!</formula>
    </cfRule>
  </conditionalFormatting>
  <conditionalFormatting sqref="D9:AG20 D21:AF21 D22:AG25">
    <cfRule type="expression" dxfId="9" priority="29">
      <formula>OR(D$9="Sat",D$9="Sun")</formula>
    </cfRule>
    <cfRule type="expression" dxfId="8" priority="30">
      <formula>D$24=8</formula>
    </cfRule>
  </conditionalFormatting>
  <conditionalFormatting sqref="D25:AG25">
    <cfRule type="cellIs" dxfId="7" priority="31" operator="greaterThan">
      <formula>8</formula>
    </cfRule>
    <cfRule type="cellIs" dxfId="6" priority="32" operator="lessThan">
      <formula>8</formula>
    </cfRule>
  </conditionalFormatting>
  <dataValidations count="2">
    <dataValidation type="custom" errorStyle="information" allowBlank="1" showInputMessage="1" showErrorMessage="1" errorTitle="Fix Start Date!" error="Tabel date tidak terbentuk karena tanggal awal lebih besar dari tanggal akhir atau tanggal awal dan tanggal akhir lebih dari 31 hari_x000a__x000a__x000a_" sqref="B2" xr:uid="{27AA2B65-17FA-4362-BA03-111F3120B4E0}">
      <formula1>AND(B2&lt;=B3, ABS(B2-B3) &lt; 31)</formula1>
    </dataValidation>
    <dataValidation type="custom" errorStyle="information" allowBlank="1" showInputMessage="1" showErrorMessage="1" errorTitle="End Date Error!" error="Tabel date tidak terbentuk karena periode timesheet maksimum 31 hari atau tanggal akhir lebih awal dari tanggal awal" sqref="B3" xr:uid="{5833607E-488A-43A8-B4CA-E516BD88FC5E}">
      <formula1>AND((B3-B2)&lt;31,(B3&gt;=B2))</formula1>
    </dataValidation>
  </dataValidations>
  <pageMargins left="0" right="0" top="0.19685039370078741" bottom="0.74803149606299213" header="0.11811023622047245" footer="0.31496062992125984"/>
  <pageSetup paperSize="9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6F23-B726-450C-8838-7114D5303DC9}">
  <dimension ref="A1:AJ53"/>
  <sheetViews>
    <sheetView tabSelected="1" zoomScale="50" zoomScaleNormal="50" workbookViewId="0">
      <selection activeCell="AC27" sqref="AC27:AJ27"/>
    </sheetView>
  </sheetViews>
  <sheetFormatPr defaultColWidth="8.7265625" defaultRowHeight="14.5" x14ac:dyDescent="0.35"/>
  <cols>
    <col min="1" max="1" width="24.1796875" style="42" customWidth="1"/>
    <col min="2" max="2" width="33.1796875" style="45" customWidth="1"/>
    <col min="3" max="3" width="10.54296875" style="42" customWidth="1"/>
    <col min="4" max="4" width="9.54296875" style="4" customWidth="1"/>
    <col min="5" max="8" width="6.81640625" style="4" customWidth="1"/>
    <col min="9" max="10" width="6.54296875" style="4" bestFit="1" customWidth="1"/>
    <col min="11" max="12" width="6.81640625" style="4" customWidth="1"/>
    <col min="13" max="13" width="11.90625" style="4" customWidth="1"/>
    <col min="14" max="14" width="9.54296875" style="4" customWidth="1"/>
    <col min="15" max="15" width="13.1796875" style="4" customWidth="1"/>
    <col min="16" max="16" width="7.7265625" style="4" customWidth="1"/>
    <col min="17" max="17" width="9.36328125" style="4" customWidth="1"/>
    <col min="18" max="18" width="8.26953125" style="4" customWidth="1"/>
    <col min="19" max="19" width="11" style="4" customWidth="1"/>
    <col min="20" max="20" width="10.26953125" style="4" customWidth="1"/>
    <col min="21" max="21" width="8.26953125" style="4" customWidth="1"/>
    <col min="22" max="22" width="10.08984375" style="4" customWidth="1"/>
    <col min="23" max="23" width="9.90625" style="4" customWidth="1"/>
    <col min="24" max="24" width="9.54296875" style="4" customWidth="1"/>
    <col min="25" max="25" width="9.7265625" style="4" customWidth="1"/>
    <col min="26" max="26" width="9.1796875" style="4" customWidth="1"/>
    <col min="27" max="27" width="9.7265625" style="4" customWidth="1"/>
    <col min="28" max="28" width="8.08984375" style="4" customWidth="1"/>
    <col min="29" max="29" width="10.453125" style="4" customWidth="1"/>
    <col min="30" max="30" width="9.54296875" style="4" customWidth="1"/>
    <col min="31" max="31" width="9.1796875" style="4" customWidth="1"/>
    <col min="32" max="32" width="9.7265625" style="4" customWidth="1"/>
    <col min="33" max="33" width="10.453125" style="4" customWidth="1"/>
    <col min="34" max="34" width="10.08984375" style="4" customWidth="1"/>
    <col min="35" max="35" width="7.1796875" style="4" customWidth="1"/>
    <col min="36" max="36" width="11.54296875" style="4" customWidth="1"/>
    <col min="37" max="16384" width="8.7265625" style="4"/>
  </cols>
  <sheetData>
    <row r="1" spans="1:36" ht="17" x14ac:dyDescent="0.4">
      <c r="A1" s="74" t="s">
        <v>0</v>
      </c>
      <c r="B1" s="75"/>
      <c r="C1" s="76"/>
      <c r="D1" s="136" t="s">
        <v>1</v>
      </c>
      <c r="E1" s="77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</row>
    <row r="2" spans="1:36" ht="17" x14ac:dyDescent="0.4">
      <c r="A2" s="76" t="s">
        <v>2</v>
      </c>
      <c r="B2" s="79">
        <v>45992</v>
      </c>
      <c r="C2" s="80"/>
      <c r="D2" s="137" t="s">
        <v>3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3" spans="1:36" ht="17" x14ac:dyDescent="0.4">
      <c r="A3" s="76" t="s">
        <v>4</v>
      </c>
      <c r="B3" s="79">
        <v>46022</v>
      </c>
      <c r="C3" s="76"/>
      <c r="D3" s="43" t="s">
        <v>5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1:36" ht="17" x14ac:dyDescent="0.4">
      <c r="A4" s="76"/>
      <c r="B4" s="81"/>
      <c r="C4" s="76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36" ht="17" x14ac:dyDescent="0.4">
      <c r="A5" s="74" t="s">
        <v>6</v>
      </c>
      <c r="B5" s="82" t="s">
        <v>163</v>
      </c>
      <c r="C5" s="76"/>
      <c r="D5" s="83" t="s">
        <v>8</v>
      </c>
      <c r="E5" s="78"/>
      <c r="F5" s="78"/>
      <c r="H5" s="84" t="s">
        <v>166</v>
      </c>
      <c r="I5" s="84"/>
      <c r="J5" s="78"/>
      <c r="K5" s="83" t="s">
        <v>10</v>
      </c>
      <c r="L5" s="78"/>
      <c r="M5" s="78"/>
      <c r="N5" s="152" t="s">
        <v>11</v>
      </c>
      <c r="O5" s="152"/>
      <c r="P5" s="152"/>
      <c r="Q5" s="152"/>
    </row>
    <row r="6" spans="1:36" ht="17" x14ac:dyDescent="0.4">
      <c r="A6" s="74" t="s">
        <v>12</v>
      </c>
      <c r="B6" s="82" t="s">
        <v>168</v>
      </c>
      <c r="C6" s="76"/>
      <c r="D6" s="83"/>
      <c r="E6" s="78"/>
      <c r="F6" s="78"/>
      <c r="H6" s="84"/>
      <c r="I6" s="84"/>
      <c r="J6" s="78"/>
      <c r="K6" s="86" t="s">
        <v>16</v>
      </c>
      <c r="L6" s="87"/>
      <c r="M6" s="76"/>
      <c r="N6" s="151" t="s">
        <v>17</v>
      </c>
      <c r="O6" s="151"/>
      <c r="P6" s="151"/>
      <c r="Q6" s="151"/>
      <c r="W6"/>
    </row>
    <row r="7" spans="1:36" s="42" customFormat="1" ht="17.149999999999999" customHeight="1" x14ac:dyDescent="0.35">
      <c r="A7" s="74" t="s">
        <v>18</v>
      </c>
      <c r="B7" s="85" t="s">
        <v>19</v>
      </c>
      <c r="C7" s="76"/>
      <c r="H7" s="76"/>
      <c r="I7" s="76"/>
      <c r="J7" s="76"/>
      <c r="K7" s="76"/>
      <c r="L7" s="76"/>
      <c r="M7" s="76"/>
      <c r="N7" s="76"/>
      <c r="O7" s="76"/>
      <c r="P7" s="76"/>
      <c r="Q7" s="76"/>
    </row>
    <row r="9" spans="1:36" ht="17" x14ac:dyDescent="0.35">
      <c r="A9" s="142" t="s">
        <v>20</v>
      </c>
      <c r="B9" s="143" t="s">
        <v>21</v>
      </c>
      <c r="C9" s="142" t="s">
        <v>22</v>
      </c>
      <c r="D9" s="50" t="str">
        <f t="shared" ref="D9:AH9" si="0">IFERROR(IF(D10="","",TEXT(D10,"ddd")),"")</f>
        <v>Mon</v>
      </c>
      <c r="E9" s="50" t="str">
        <f t="shared" si="0"/>
        <v>Tue</v>
      </c>
      <c r="F9" s="50" t="str">
        <f t="shared" si="0"/>
        <v>Wed</v>
      </c>
      <c r="G9" s="50" t="str">
        <f t="shared" si="0"/>
        <v>Thu</v>
      </c>
      <c r="H9" s="50" t="str">
        <f t="shared" si="0"/>
        <v>Fri</v>
      </c>
      <c r="I9" s="50" t="str">
        <f t="shared" si="0"/>
        <v>Sat</v>
      </c>
      <c r="J9" s="50" t="str">
        <f t="shared" si="0"/>
        <v>Sun</v>
      </c>
      <c r="K9" s="50" t="str">
        <f t="shared" si="0"/>
        <v>Mon</v>
      </c>
      <c r="L9" s="50" t="str">
        <f t="shared" si="0"/>
        <v>Tue</v>
      </c>
      <c r="M9" s="50" t="str">
        <f t="shared" si="0"/>
        <v>Wed</v>
      </c>
      <c r="N9" s="50" t="str">
        <f t="shared" si="0"/>
        <v>Thu</v>
      </c>
      <c r="O9" s="50" t="str">
        <f t="shared" si="0"/>
        <v>Fri</v>
      </c>
      <c r="P9" s="50" t="str">
        <f t="shared" si="0"/>
        <v>Sat</v>
      </c>
      <c r="Q9" s="50" t="str">
        <f t="shared" si="0"/>
        <v>Sun</v>
      </c>
      <c r="R9" s="50" t="str">
        <f t="shared" si="0"/>
        <v>Mon</v>
      </c>
      <c r="S9" s="50" t="str">
        <f t="shared" si="0"/>
        <v>Tue</v>
      </c>
      <c r="T9" s="50" t="str">
        <f t="shared" si="0"/>
        <v>Wed</v>
      </c>
      <c r="U9" s="50" t="str">
        <f t="shared" si="0"/>
        <v>Thu</v>
      </c>
      <c r="V9" s="50" t="str">
        <f t="shared" si="0"/>
        <v>Fri</v>
      </c>
      <c r="W9" s="50" t="str">
        <f t="shared" si="0"/>
        <v>Sat</v>
      </c>
      <c r="X9" s="50" t="str">
        <f t="shared" si="0"/>
        <v>Sun</v>
      </c>
      <c r="Y9" s="50" t="str">
        <f t="shared" si="0"/>
        <v>Mon</v>
      </c>
      <c r="Z9" s="50" t="str">
        <f t="shared" si="0"/>
        <v>Tue</v>
      </c>
      <c r="AA9" s="198" t="str">
        <f t="shared" si="0"/>
        <v>Wed</v>
      </c>
      <c r="AB9" s="139" t="str">
        <f t="shared" si="0"/>
        <v>Thu</v>
      </c>
      <c r="AC9" s="50" t="str">
        <f t="shared" si="0"/>
        <v>Fri</v>
      </c>
      <c r="AD9" s="50" t="str">
        <f t="shared" si="0"/>
        <v>Sat</v>
      </c>
      <c r="AE9" s="50" t="str">
        <f t="shared" si="0"/>
        <v>Sun</v>
      </c>
      <c r="AF9" s="50" t="str">
        <f t="shared" si="0"/>
        <v>Mon</v>
      </c>
      <c r="AG9" s="50" t="str">
        <f t="shared" si="0"/>
        <v>Tue</v>
      </c>
      <c r="AH9" s="50" t="str">
        <f t="shared" si="0"/>
        <v>Wed</v>
      </c>
      <c r="AI9" s="143" t="s">
        <v>23</v>
      </c>
      <c r="AJ9" s="90" t="s">
        <v>24</v>
      </c>
    </row>
    <row r="10" spans="1:36" ht="17" x14ac:dyDescent="0.35">
      <c r="A10" s="142"/>
      <c r="B10" s="143"/>
      <c r="C10" s="142"/>
      <c r="D10" s="51" cm="1">
        <f t="array" ref="D10:AH10">IFERROR(IF(OR((B3-B2+1)&gt;31,B2="",B3=""),"",_xlfn.SEQUENCE(,B3-B2+1,B2)),"")</f>
        <v>45992</v>
      </c>
      <c r="E10" s="51">
        <v>45993</v>
      </c>
      <c r="F10" s="51">
        <v>45994</v>
      </c>
      <c r="G10" s="51">
        <v>45995</v>
      </c>
      <c r="H10" s="52">
        <v>45996</v>
      </c>
      <c r="I10" s="52">
        <v>45997</v>
      </c>
      <c r="J10" s="52">
        <v>45998</v>
      </c>
      <c r="K10" s="52">
        <v>45999</v>
      </c>
      <c r="L10" s="52">
        <v>46000</v>
      </c>
      <c r="M10" s="52">
        <v>46001</v>
      </c>
      <c r="N10" s="52">
        <v>46002</v>
      </c>
      <c r="O10" s="52">
        <v>46003</v>
      </c>
      <c r="P10" s="52">
        <v>46004</v>
      </c>
      <c r="Q10" s="52">
        <v>46005</v>
      </c>
      <c r="R10" s="52">
        <v>46006</v>
      </c>
      <c r="S10" s="52">
        <v>46007</v>
      </c>
      <c r="T10" s="52">
        <v>46008</v>
      </c>
      <c r="U10" s="52">
        <v>46009</v>
      </c>
      <c r="V10" s="52">
        <v>46010</v>
      </c>
      <c r="W10" s="52">
        <v>46011</v>
      </c>
      <c r="X10" s="52">
        <v>46012</v>
      </c>
      <c r="Y10" s="52">
        <v>46013</v>
      </c>
      <c r="Z10" s="52">
        <v>46014</v>
      </c>
      <c r="AA10" s="199">
        <v>46015</v>
      </c>
      <c r="AB10" s="140">
        <v>46016</v>
      </c>
      <c r="AC10" s="52">
        <v>46017</v>
      </c>
      <c r="AD10" s="52">
        <v>46018</v>
      </c>
      <c r="AE10" s="52">
        <v>46019</v>
      </c>
      <c r="AF10" s="51">
        <v>46020</v>
      </c>
      <c r="AG10" s="51">
        <v>46021</v>
      </c>
      <c r="AH10" s="51">
        <v>46022</v>
      </c>
      <c r="AI10" s="143"/>
      <c r="AJ10" s="90"/>
    </row>
    <row r="11" spans="1:36" ht="17" x14ac:dyDescent="0.4">
      <c r="A11" s="66" t="s">
        <v>25</v>
      </c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198"/>
      <c r="AB11" s="139"/>
      <c r="AC11" s="54"/>
      <c r="AD11" s="54"/>
      <c r="AE11" s="54"/>
      <c r="AF11" s="54"/>
      <c r="AG11" s="54"/>
      <c r="AH11" s="54"/>
      <c r="AI11" s="55"/>
      <c r="AJ11" s="73"/>
    </row>
    <row r="12" spans="1:36" ht="34" x14ac:dyDescent="0.4">
      <c r="A12" s="88" t="s">
        <v>164</v>
      </c>
      <c r="B12" s="89" t="s">
        <v>169</v>
      </c>
      <c r="C12" s="57"/>
      <c r="D12" s="57">
        <v>8</v>
      </c>
      <c r="E12" s="57">
        <v>8</v>
      </c>
      <c r="F12" s="57">
        <v>8</v>
      </c>
      <c r="G12" s="57">
        <v>8</v>
      </c>
      <c r="H12" s="57">
        <v>8</v>
      </c>
      <c r="I12" s="50"/>
      <c r="J12" s="50"/>
      <c r="K12" s="50">
        <v>8</v>
      </c>
      <c r="L12" s="50">
        <v>8</v>
      </c>
      <c r="M12" s="50">
        <v>8</v>
      </c>
      <c r="N12" s="57">
        <v>8</v>
      </c>
      <c r="O12" s="57">
        <v>8</v>
      </c>
      <c r="P12" s="50"/>
      <c r="Q12" s="50"/>
      <c r="R12" s="50">
        <v>8</v>
      </c>
      <c r="S12" s="50">
        <v>8</v>
      </c>
      <c r="T12" s="50">
        <v>8</v>
      </c>
      <c r="U12" s="50">
        <v>8</v>
      </c>
      <c r="V12" s="50">
        <v>8</v>
      </c>
      <c r="W12" s="50"/>
      <c r="X12" s="50"/>
      <c r="Y12" s="50">
        <v>8</v>
      </c>
      <c r="Z12" s="50">
        <v>8</v>
      </c>
      <c r="AA12" s="198"/>
      <c r="AB12" s="139"/>
      <c r="AC12" s="50">
        <v>8</v>
      </c>
      <c r="AD12" s="50"/>
      <c r="AE12" s="50"/>
      <c r="AF12" s="57">
        <v>8</v>
      </c>
      <c r="AG12" s="57">
        <v>8</v>
      </c>
      <c r="AH12" s="57">
        <v>8</v>
      </c>
      <c r="AI12" s="58">
        <f>SUM(D12:AH12)</f>
        <v>168</v>
      </c>
      <c r="AJ12" s="73"/>
    </row>
    <row r="13" spans="1:36" ht="17" x14ac:dyDescent="0.4">
      <c r="B13" s="89"/>
      <c r="C13" s="57"/>
      <c r="D13" s="57"/>
      <c r="E13" s="57"/>
      <c r="F13" s="57"/>
      <c r="G13" s="50"/>
      <c r="H13" s="57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198"/>
      <c r="AB13" s="139"/>
      <c r="AC13" s="50"/>
      <c r="AD13" s="50"/>
      <c r="AE13" s="50"/>
      <c r="AF13" s="57"/>
      <c r="AG13" s="57"/>
      <c r="AH13" s="57"/>
      <c r="AI13" s="58">
        <f>SUM(D13:AH13)</f>
        <v>0</v>
      </c>
      <c r="AJ13" s="73"/>
    </row>
    <row r="14" spans="1:36" ht="17" x14ac:dyDescent="0.4">
      <c r="A14" s="89"/>
      <c r="B14" s="89"/>
      <c r="C14" s="57"/>
      <c r="D14" s="57"/>
      <c r="E14" s="57"/>
      <c r="F14" s="57"/>
      <c r="G14" s="50"/>
      <c r="H14" s="57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198"/>
      <c r="AB14" s="139"/>
      <c r="AC14" s="50"/>
      <c r="AD14" s="50"/>
      <c r="AE14" s="50"/>
      <c r="AF14" s="57"/>
      <c r="AG14" s="57"/>
      <c r="AH14" s="57"/>
      <c r="AI14" s="58">
        <f>SUM(D14:AH14)</f>
        <v>0</v>
      </c>
      <c r="AJ14" s="73"/>
    </row>
    <row r="15" spans="1:36" ht="17" x14ac:dyDescent="0.4">
      <c r="A15" s="67"/>
      <c r="B15" s="56"/>
      <c r="C15" s="57"/>
      <c r="D15" s="57"/>
      <c r="E15" s="57"/>
      <c r="F15" s="57"/>
      <c r="G15" s="50"/>
      <c r="H15" s="57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198"/>
      <c r="AB15" s="139"/>
      <c r="AC15" s="50"/>
      <c r="AD15" s="50"/>
      <c r="AE15" s="50"/>
      <c r="AF15" s="57"/>
      <c r="AG15" s="57"/>
      <c r="AH15" s="57"/>
      <c r="AI15" s="58"/>
      <c r="AJ15" s="73"/>
    </row>
    <row r="16" spans="1:36" ht="17" x14ac:dyDescent="0.4">
      <c r="A16" s="67"/>
      <c r="B16" s="56"/>
      <c r="C16" s="57"/>
      <c r="D16" s="57"/>
      <c r="E16" s="57"/>
      <c r="F16" s="57"/>
      <c r="G16" s="50"/>
      <c r="H16" s="57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198"/>
      <c r="AB16" s="139"/>
      <c r="AC16" s="50"/>
      <c r="AD16" s="50"/>
      <c r="AE16" s="50"/>
      <c r="AF16" s="57"/>
      <c r="AG16" s="57"/>
      <c r="AH16" s="57"/>
      <c r="AI16" s="58"/>
      <c r="AJ16" s="73"/>
    </row>
    <row r="17" spans="1:36" ht="17" x14ac:dyDescent="0.4">
      <c r="A17" s="66" t="s">
        <v>31</v>
      </c>
      <c r="B17" s="59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198"/>
      <c r="AB17" s="139"/>
      <c r="AC17" s="54"/>
      <c r="AD17" s="54"/>
      <c r="AE17" s="54"/>
      <c r="AF17" s="54"/>
      <c r="AG17" s="54"/>
      <c r="AH17" s="54"/>
      <c r="AI17" s="55"/>
      <c r="AJ17" s="73"/>
    </row>
    <row r="18" spans="1:36" ht="17" x14ac:dyDescent="0.4">
      <c r="A18" s="67"/>
      <c r="B18" s="56"/>
      <c r="C18" s="57"/>
      <c r="D18" s="57"/>
      <c r="E18" s="57"/>
      <c r="F18" s="57"/>
      <c r="G18" s="50"/>
      <c r="H18" s="57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198"/>
      <c r="AB18" s="139"/>
      <c r="AC18" s="50"/>
      <c r="AD18" s="50"/>
      <c r="AE18" s="50"/>
      <c r="AF18" s="57"/>
      <c r="AG18" s="57"/>
      <c r="AH18" s="57"/>
      <c r="AI18" s="58">
        <f>SUM(D18:AH18)</f>
        <v>0</v>
      </c>
      <c r="AJ18" s="73"/>
    </row>
    <row r="19" spans="1:36" ht="17" x14ac:dyDescent="0.4">
      <c r="A19" s="67"/>
      <c r="B19" s="56"/>
      <c r="C19" s="57"/>
      <c r="D19" s="57"/>
      <c r="E19" s="57"/>
      <c r="F19" s="57"/>
      <c r="G19" s="50"/>
      <c r="H19" s="57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198"/>
      <c r="AB19" s="139"/>
      <c r="AC19" s="50"/>
      <c r="AD19" s="50"/>
      <c r="AE19" s="50"/>
      <c r="AF19" s="57"/>
      <c r="AG19" s="57"/>
      <c r="AH19" s="57"/>
      <c r="AI19" s="58">
        <f>SUM(D19:AH19)</f>
        <v>0</v>
      </c>
      <c r="AJ19" s="73"/>
    </row>
    <row r="20" spans="1:36" ht="17" x14ac:dyDescent="0.4">
      <c r="A20" s="67"/>
      <c r="B20" s="56"/>
      <c r="C20" s="57"/>
      <c r="D20" s="57"/>
      <c r="E20" s="57"/>
      <c r="F20" s="57"/>
      <c r="G20" s="50"/>
      <c r="H20" s="57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198"/>
      <c r="AB20" s="139"/>
      <c r="AC20" s="50"/>
      <c r="AD20" s="50"/>
      <c r="AE20" s="50"/>
      <c r="AF20" s="57"/>
      <c r="AG20" s="57"/>
      <c r="AH20" s="57"/>
      <c r="AI20" s="58">
        <f>SUM(D20:AH20)</f>
        <v>0</v>
      </c>
      <c r="AJ20" s="73"/>
    </row>
    <row r="21" spans="1:36" ht="13.5" customHeight="1" x14ac:dyDescent="0.4">
      <c r="A21" s="68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198"/>
      <c r="AB21" s="139"/>
      <c r="AC21" s="61"/>
      <c r="AD21" s="61"/>
      <c r="AE21" s="61"/>
      <c r="AF21" s="61"/>
      <c r="AG21" s="62"/>
      <c r="AH21" s="62"/>
      <c r="AI21" s="62"/>
      <c r="AJ21" s="73"/>
    </row>
    <row r="22" spans="1:36" ht="17" x14ac:dyDescent="0.4">
      <c r="A22" s="144" t="s">
        <v>38</v>
      </c>
      <c r="B22" s="145"/>
      <c r="C22" s="146"/>
      <c r="D22" s="57"/>
      <c r="E22" s="57"/>
      <c r="F22" s="57"/>
      <c r="G22" s="50"/>
      <c r="H22" s="57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198"/>
      <c r="AB22" s="139"/>
      <c r="AC22" s="50"/>
      <c r="AD22" s="50"/>
      <c r="AE22" s="50"/>
      <c r="AF22" s="57"/>
      <c r="AG22" s="57"/>
      <c r="AH22" s="57"/>
      <c r="AI22" s="58">
        <f>SUM(D22:AH22)</f>
        <v>0</v>
      </c>
      <c r="AJ22" s="73"/>
    </row>
    <row r="23" spans="1:36" ht="17" x14ac:dyDescent="0.4">
      <c r="A23" s="144" t="s">
        <v>39</v>
      </c>
      <c r="B23" s="145"/>
      <c r="C23" s="146"/>
      <c r="D23" s="57"/>
      <c r="E23" s="57"/>
      <c r="F23" s="57"/>
      <c r="G23" s="50"/>
      <c r="H23" s="57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198"/>
      <c r="AB23" s="139"/>
      <c r="AC23" s="50"/>
      <c r="AD23" s="50"/>
      <c r="AE23" s="50"/>
      <c r="AF23" s="57"/>
      <c r="AG23" s="57"/>
      <c r="AH23" s="57"/>
      <c r="AI23" s="58">
        <f>SUM(D23:AH23)</f>
        <v>0</v>
      </c>
      <c r="AJ23" s="73"/>
    </row>
    <row r="24" spans="1:36" ht="17" x14ac:dyDescent="0.4">
      <c r="A24" s="147" t="s">
        <v>40</v>
      </c>
      <c r="B24" s="148"/>
      <c r="C24" s="149"/>
      <c r="D24" s="57"/>
      <c r="E24" s="57"/>
      <c r="F24" s="57"/>
      <c r="G24" s="50"/>
      <c r="H24" s="57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198"/>
      <c r="AB24" s="139"/>
      <c r="AC24" s="50"/>
      <c r="AD24" s="50"/>
      <c r="AE24" s="50"/>
      <c r="AF24" s="57"/>
      <c r="AG24" s="57"/>
      <c r="AH24" s="57"/>
      <c r="AI24" s="58">
        <f>SUM(D24:AH24)</f>
        <v>0</v>
      </c>
      <c r="AJ24" s="73"/>
    </row>
    <row r="25" spans="1:36" ht="17" x14ac:dyDescent="0.4">
      <c r="A25" s="144" t="s">
        <v>41</v>
      </c>
      <c r="B25" s="145"/>
      <c r="C25" s="146"/>
      <c r="D25" s="57">
        <f t="shared" ref="D25:Y25" si="1">SUM(D11:D20)</f>
        <v>8</v>
      </c>
      <c r="E25" s="57">
        <f t="shared" si="1"/>
        <v>8</v>
      </c>
      <c r="F25" s="57">
        <f t="shared" si="1"/>
        <v>8</v>
      </c>
      <c r="G25" s="57">
        <f t="shared" si="1"/>
        <v>8</v>
      </c>
      <c r="H25" s="57">
        <f t="shared" si="1"/>
        <v>8</v>
      </c>
      <c r="I25" s="50">
        <f t="shared" si="1"/>
        <v>0</v>
      </c>
      <c r="J25" s="50">
        <f t="shared" si="1"/>
        <v>0</v>
      </c>
      <c r="K25" s="50">
        <f t="shared" si="1"/>
        <v>8</v>
      </c>
      <c r="L25" s="50">
        <f t="shared" si="1"/>
        <v>8</v>
      </c>
      <c r="M25" s="50">
        <f t="shared" si="1"/>
        <v>8</v>
      </c>
      <c r="N25" s="50">
        <f t="shared" si="1"/>
        <v>8</v>
      </c>
      <c r="O25" s="50">
        <f t="shared" si="1"/>
        <v>8</v>
      </c>
      <c r="P25" s="50">
        <f t="shared" si="1"/>
        <v>0</v>
      </c>
      <c r="Q25" s="50">
        <f t="shared" si="1"/>
        <v>0</v>
      </c>
      <c r="R25" s="50">
        <v>8</v>
      </c>
      <c r="S25" s="50">
        <f t="shared" ref="S25:V25" si="2">SUM(S11:S20)</f>
        <v>8</v>
      </c>
      <c r="T25" s="50">
        <f t="shared" si="2"/>
        <v>8</v>
      </c>
      <c r="U25" s="50">
        <f t="shared" si="2"/>
        <v>8</v>
      </c>
      <c r="V25" s="50">
        <f t="shared" si="2"/>
        <v>8</v>
      </c>
      <c r="W25" s="50">
        <f t="shared" si="1"/>
        <v>0</v>
      </c>
      <c r="X25" s="50">
        <f t="shared" si="1"/>
        <v>0</v>
      </c>
      <c r="Y25" s="50">
        <f t="shared" si="1"/>
        <v>8</v>
      </c>
      <c r="Z25" s="50">
        <f t="shared" ref="Z25:AC25" si="3">SUM(Z11:Z20)</f>
        <v>8</v>
      </c>
      <c r="AA25" s="50">
        <f t="shared" si="3"/>
        <v>0</v>
      </c>
      <c r="AB25" s="50">
        <f t="shared" si="3"/>
        <v>0</v>
      </c>
      <c r="AC25" s="50">
        <f t="shared" si="3"/>
        <v>8</v>
      </c>
      <c r="AD25" s="50">
        <f>SUM(AD11:AD20)</f>
        <v>0</v>
      </c>
      <c r="AE25" s="50">
        <f>SUM(AE11:AE20)</f>
        <v>0</v>
      </c>
      <c r="AF25" s="57">
        <f>SUM(AF11:AF20)</f>
        <v>8</v>
      </c>
      <c r="AG25" s="57">
        <f>SUM(AG11:AG20)</f>
        <v>8</v>
      </c>
      <c r="AH25" s="57">
        <f>SUM(AH11:AH20)</f>
        <v>8</v>
      </c>
      <c r="AI25" s="58">
        <f>SUM(D25:AH25)</f>
        <v>168</v>
      </c>
      <c r="AJ25" s="73"/>
    </row>
    <row r="26" spans="1:36" ht="15" thickBot="1" x14ac:dyDescent="0.4"/>
    <row r="27" spans="1:36" s="93" customFormat="1" ht="18" customHeight="1" x14ac:dyDescent="0.35">
      <c r="A27" s="91"/>
      <c r="B27" s="92" t="s">
        <v>42</v>
      </c>
      <c r="D27" s="4"/>
      <c r="E27" s="153"/>
      <c r="F27" s="153"/>
      <c r="G27" s="153"/>
      <c r="H27" s="153"/>
      <c r="I27" s="153"/>
      <c r="J27" s="153"/>
      <c r="S27" s="194" t="s">
        <v>43</v>
      </c>
      <c r="T27" s="195"/>
      <c r="U27" s="195"/>
      <c r="V27" s="195"/>
      <c r="W27" s="195"/>
      <c r="X27" s="195"/>
      <c r="Y27" s="195"/>
      <c r="Z27" s="195"/>
      <c r="AA27" s="196"/>
      <c r="AC27" s="184" t="s">
        <v>170</v>
      </c>
      <c r="AD27" s="185"/>
      <c r="AE27" s="185"/>
      <c r="AF27" s="185"/>
      <c r="AG27" s="185"/>
      <c r="AH27" s="185"/>
      <c r="AI27" s="185"/>
      <c r="AJ27" s="186"/>
    </row>
    <row r="28" spans="1:36" ht="15.5" x14ac:dyDescent="0.35">
      <c r="A28" s="69"/>
      <c r="B28" s="49" t="s">
        <v>45</v>
      </c>
      <c r="E28" s="153"/>
      <c r="F28" s="153"/>
      <c r="G28" s="153"/>
      <c r="H28" s="153"/>
      <c r="I28" s="153"/>
      <c r="J28" s="153"/>
      <c r="S28" s="187" t="s">
        <v>46</v>
      </c>
      <c r="T28" s="188"/>
      <c r="U28" s="189" t="s">
        <v>167</v>
      </c>
      <c r="V28" s="189"/>
      <c r="W28" s="189"/>
      <c r="X28" s="189"/>
      <c r="Y28" s="189"/>
      <c r="Z28" s="189"/>
      <c r="AA28" s="190"/>
      <c r="AC28" s="169" t="s">
        <v>48</v>
      </c>
      <c r="AD28" s="155"/>
      <c r="AE28" s="155"/>
      <c r="AF28" s="155"/>
      <c r="AG28" s="155"/>
      <c r="AH28" s="155"/>
      <c r="AI28" s="155"/>
      <c r="AJ28" s="156"/>
    </row>
    <row r="29" spans="1:36" ht="18.649999999999999" customHeight="1" x14ac:dyDescent="0.35">
      <c r="A29" s="70"/>
      <c r="B29" s="49" t="s">
        <v>49</v>
      </c>
      <c r="E29" s="153"/>
      <c r="F29" s="153"/>
      <c r="G29" s="153"/>
      <c r="H29" s="153"/>
      <c r="I29" s="153"/>
      <c r="J29" s="153"/>
      <c r="S29" s="187"/>
      <c r="T29" s="188"/>
      <c r="U29" s="189"/>
      <c r="V29" s="189"/>
      <c r="W29" s="189"/>
      <c r="X29" s="189"/>
      <c r="Y29" s="189"/>
      <c r="Z29" s="189"/>
      <c r="AA29" s="190"/>
      <c r="AC29" s="170"/>
      <c r="AD29" s="158"/>
      <c r="AE29" s="158"/>
      <c r="AF29" s="158"/>
      <c r="AG29" s="158"/>
      <c r="AH29" s="158"/>
      <c r="AI29" s="158"/>
      <c r="AJ29" s="159"/>
    </row>
    <row r="30" spans="1:36" ht="18.649999999999999" customHeight="1" x14ac:dyDescent="0.35">
      <c r="A30" s="71"/>
      <c r="B30" s="49" t="s">
        <v>50</v>
      </c>
      <c r="E30" s="153"/>
      <c r="F30" s="153"/>
      <c r="G30" s="153"/>
      <c r="H30" s="153"/>
      <c r="I30" s="153"/>
      <c r="J30" s="153"/>
      <c r="S30" s="187"/>
      <c r="T30" s="188"/>
      <c r="U30" s="189"/>
      <c r="V30" s="189"/>
      <c r="W30" s="189"/>
      <c r="X30" s="189"/>
      <c r="Y30" s="189"/>
      <c r="Z30" s="189"/>
      <c r="AA30" s="190"/>
      <c r="AC30" s="170"/>
      <c r="AD30" s="158"/>
      <c r="AE30" s="158"/>
      <c r="AF30" s="158"/>
      <c r="AG30" s="158"/>
      <c r="AH30" s="158"/>
      <c r="AI30" s="158"/>
      <c r="AJ30" s="159"/>
    </row>
    <row r="31" spans="1:36" ht="19" customHeight="1" x14ac:dyDescent="0.35">
      <c r="S31" s="187"/>
      <c r="T31" s="188"/>
      <c r="U31" s="189"/>
      <c r="V31" s="189"/>
      <c r="W31" s="189"/>
      <c r="X31" s="189"/>
      <c r="Y31" s="189"/>
      <c r="Z31" s="189"/>
      <c r="AA31" s="190"/>
      <c r="AC31" s="170"/>
      <c r="AD31" s="158"/>
      <c r="AE31" s="158"/>
      <c r="AF31" s="158"/>
      <c r="AG31" s="158"/>
      <c r="AH31" s="158"/>
      <c r="AI31" s="158"/>
      <c r="AJ31" s="159"/>
    </row>
    <row r="32" spans="1:36" ht="18.5" x14ac:dyDescent="0.45">
      <c r="A32" s="72" t="s">
        <v>51</v>
      </c>
      <c r="B32" s="46"/>
      <c r="C32" s="63"/>
      <c r="D32" s="44"/>
      <c r="E32" s="44"/>
      <c r="F32" s="44"/>
      <c r="G32" s="44"/>
      <c r="H32" s="44"/>
      <c r="S32" s="187"/>
      <c r="T32" s="188"/>
      <c r="U32" s="189"/>
      <c r="V32" s="189"/>
      <c r="W32" s="189"/>
      <c r="X32" s="189"/>
      <c r="Y32" s="189"/>
      <c r="Z32" s="189"/>
      <c r="AA32" s="190"/>
      <c r="AC32" s="191"/>
      <c r="AD32" s="192"/>
      <c r="AE32" s="192"/>
      <c r="AF32" s="192"/>
      <c r="AG32" s="192"/>
      <c r="AH32" s="192"/>
      <c r="AI32" s="192"/>
      <c r="AJ32" s="193"/>
    </row>
    <row r="33" spans="1:36" ht="18.5" customHeight="1" x14ac:dyDescent="0.45">
      <c r="A33" s="150" t="s">
        <v>52</v>
      </c>
      <c r="B33" s="150"/>
      <c r="C33" s="63">
        <f>COUNTIF(D24:AH24,"=8")</f>
        <v>0</v>
      </c>
      <c r="D33" s="44"/>
      <c r="E33" s="44"/>
      <c r="F33" s="44"/>
      <c r="G33" s="44"/>
      <c r="H33" s="44"/>
      <c r="AC33" s="170" t="s">
        <v>165</v>
      </c>
      <c r="AD33" s="158"/>
      <c r="AE33" s="158"/>
      <c r="AF33" s="158"/>
      <c r="AG33" s="158"/>
      <c r="AH33" s="158"/>
      <c r="AI33" s="158"/>
      <c r="AJ33" s="159"/>
    </row>
    <row r="34" spans="1:36" ht="18.5" x14ac:dyDescent="0.45">
      <c r="A34" s="63" t="s">
        <v>56</v>
      </c>
      <c r="B34" s="47"/>
      <c r="C34" s="64">
        <f>NETWORKDAYS(B2,B3)-C33</f>
        <v>23</v>
      </c>
      <c r="D34" s="44"/>
      <c r="E34" s="44"/>
      <c r="F34" s="44"/>
      <c r="G34" s="44"/>
      <c r="H34" s="44"/>
      <c r="AC34" s="170"/>
      <c r="AD34" s="158"/>
      <c r="AE34" s="158"/>
      <c r="AF34" s="158"/>
      <c r="AG34" s="158"/>
      <c r="AH34" s="158"/>
      <c r="AI34" s="158"/>
      <c r="AJ34" s="159"/>
    </row>
    <row r="35" spans="1:36" ht="18.5" x14ac:dyDescent="0.45">
      <c r="A35" s="63" t="s">
        <v>57</v>
      </c>
      <c r="B35" s="47"/>
      <c r="C35" s="63">
        <f>AI23/8</f>
        <v>0</v>
      </c>
      <c r="D35" s="44"/>
      <c r="E35" s="44"/>
      <c r="F35" s="44"/>
      <c r="G35" s="44"/>
      <c r="H35" s="44"/>
      <c r="AC35" s="170"/>
      <c r="AD35" s="158"/>
      <c r="AE35" s="158"/>
      <c r="AF35" s="158"/>
      <c r="AG35" s="158"/>
      <c r="AH35" s="158"/>
      <c r="AI35" s="158"/>
      <c r="AJ35" s="159"/>
    </row>
    <row r="36" spans="1:36" ht="18.5" x14ac:dyDescent="0.45">
      <c r="A36" s="63" t="s">
        <v>58</v>
      </c>
      <c r="B36" s="47"/>
      <c r="C36" s="63">
        <f>AI22/8</f>
        <v>0</v>
      </c>
      <c r="D36" s="44"/>
      <c r="E36" s="44"/>
      <c r="F36" s="44"/>
      <c r="G36" s="44"/>
      <c r="H36" s="44"/>
      <c r="AC36" s="170"/>
      <c r="AD36" s="158"/>
      <c r="AE36" s="158"/>
      <c r="AF36" s="158"/>
      <c r="AG36" s="158"/>
      <c r="AH36" s="158"/>
      <c r="AI36" s="158"/>
      <c r="AJ36" s="159"/>
    </row>
    <row r="37" spans="1:36" ht="19" thickBot="1" x14ac:dyDescent="0.5">
      <c r="A37" s="141" t="s">
        <v>59</v>
      </c>
      <c r="B37" s="141"/>
      <c r="C37" s="63">
        <v>19</v>
      </c>
      <c r="D37" s="44"/>
      <c r="E37" s="44"/>
      <c r="F37" s="44"/>
      <c r="G37" s="44"/>
      <c r="H37" s="44"/>
      <c r="AC37" s="171"/>
      <c r="AD37" s="161"/>
      <c r="AE37" s="161"/>
      <c r="AF37" s="161"/>
      <c r="AG37" s="161"/>
      <c r="AH37" s="161"/>
      <c r="AI37" s="161"/>
      <c r="AJ37" s="162"/>
    </row>
    <row r="38" spans="1:36" ht="18.5" x14ac:dyDescent="0.45">
      <c r="A38" s="63" t="s">
        <v>60</v>
      </c>
      <c r="B38" s="47"/>
      <c r="C38" s="65">
        <v>1</v>
      </c>
      <c r="D38" s="44"/>
      <c r="E38" s="44"/>
      <c r="F38" s="44"/>
      <c r="G38" s="44"/>
      <c r="H38" s="44"/>
    </row>
    <row r="39" spans="1:36" ht="18.5" x14ac:dyDescent="0.45">
      <c r="A39" s="63"/>
      <c r="B39" s="47"/>
      <c r="C39" s="63"/>
      <c r="D39" s="44"/>
      <c r="E39" s="44"/>
      <c r="F39" s="44"/>
      <c r="G39" s="44"/>
      <c r="H39" s="44"/>
    </row>
    <row r="40" spans="1:36" ht="18.5" x14ac:dyDescent="0.45">
      <c r="A40" s="72" t="s">
        <v>61</v>
      </c>
      <c r="B40" s="46"/>
      <c r="C40" s="63"/>
      <c r="D40" s="44"/>
      <c r="E40" s="44"/>
      <c r="F40" s="44"/>
      <c r="G40" s="44"/>
      <c r="H40" s="44"/>
    </row>
    <row r="41" spans="1:36" ht="35.5" customHeight="1" x14ac:dyDescent="0.45">
      <c r="A41" s="141" t="s">
        <v>62</v>
      </c>
      <c r="B41" s="141"/>
      <c r="C41" s="63">
        <f>AI25</f>
        <v>168</v>
      </c>
      <c r="D41" s="44"/>
      <c r="E41" s="44"/>
      <c r="F41" s="44"/>
      <c r="G41" s="44"/>
      <c r="H41" s="44"/>
    </row>
    <row r="42" spans="1:36" ht="38.15" customHeight="1" x14ac:dyDescent="0.45">
      <c r="A42" s="141" t="s">
        <v>63</v>
      </c>
      <c r="B42" s="141"/>
      <c r="C42" s="63">
        <v>39</v>
      </c>
      <c r="D42" s="44"/>
      <c r="E42" s="44"/>
      <c r="F42" s="44"/>
      <c r="G42" s="44"/>
      <c r="H42" s="44"/>
    </row>
    <row r="43" spans="1:36" ht="18.5" x14ac:dyDescent="0.45">
      <c r="A43" s="63" t="s">
        <v>64</v>
      </c>
      <c r="B43" s="48"/>
      <c r="C43" s="63">
        <f>SUMIFS($AI$12:$AI$20, $C$12:$C$20, "Morning")</f>
        <v>0</v>
      </c>
      <c r="D43" s="44"/>
      <c r="E43" s="44"/>
      <c r="F43" s="44"/>
      <c r="G43" s="44"/>
      <c r="H43" s="44"/>
    </row>
    <row r="44" spans="1:36" ht="18.5" x14ac:dyDescent="0.45">
      <c r="A44" s="63" t="s">
        <v>65</v>
      </c>
      <c r="B44" s="48"/>
      <c r="C44" s="63">
        <f>SUMIFS($AI$12:$AI$20, $C$12:$C$20, "Afternoon")</f>
        <v>0</v>
      </c>
      <c r="D44" s="44"/>
      <c r="E44" s="44"/>
      <c r="F44" s="44"/>
      <c r="G44" s="44"/>
      <c r="H44" s="44"/>
      <c r="I44" s="44"/>
      <c r="J44" s="44"/>
      <c r="T44"/>
    </row>
    <row r="45" spans="1:36" ht="18.5" x14ac:dyDescent="0.45">
      <c r="A45" s="63" t="s">
        <v>66</v>
      </c>
      <c r="B45" s="48"/>
      <c r="C45" s="63">
        <f>SUMIFS($AI$12:$AI$20, $C$12:$C$20, "Night")</f>
        <v>0</v>
      </c>
      <c r="D45" s="44"/>
      <c r="E45" s="44"/>
      <c r="F45" s="44"/>
      <c r="G45" s="44"/>
      <c r="H45" s="44"/>
      <c r="I45" s="44"/>
      <c r="J45" s="44"/>
    </row>
    <row r="46" spans="1:36" ht="18.5" x14ac:dyDescent="0.45">
      <c r="A46" s="63"/>
      <c r="B46" s="47"/>
      <c r="C46" s="63"/>
      <c r="D46" s="44"/>
      <c r="E46" s="44"/>
      <c r="F46" s="44"/>
      <c r="G46" s="44"/>
      <c r="H46" s="44"/>
      <c r="I46" s="44"/>
      <c r="J46" s="44"/>
    </row>
    <row r="47" spans="1:36" ht="18.5" x14ac:dyDescent="0.45">
      <c r="A47" s="72" t="s">
        <v>67</v>
      </c>
      <c r="B47" s="46"/>
      <c r="C47" s="63"/>
      <c r="D47" s="44"/>
      <c r="E47" s="44"/>
      <c r="F47" s="44"/>
      <c r="G47" s="44"/>
      <c r="H47" s="44"/>
      <c r="I47" s="44"/>
      <c r="J47" s="44"/>
    </row>
    <row r="48" spans="1:36" ht="18.5" x14ac:dyDescent="0.45">
      <c r="A48" s="63" t="s">
        <v>68</v>
      </c>
      <c r="B48" s="47"/>
      <c r="C48" s="63"/>
      <c r="D48" s="44"/>
      <c r="E48" s="44"/>
      <c r="F48" s="44"/>
      <c r="G48" s="44"/>
      <c r="H48" s="44"/>
      <c r="I48" s="44"/>
      <c r="J48" s="44"/>
    </row>
    <row r="49" spans="1:10" ht="18.5" x14ac:dyDescent="0.45">
      <c r="A49" s="63" t="s">
        <v>69</v>
      </c>
      <c r="B49" s="47"/>
      <c r="C49" s="63"/>
      <c r="D49" s="44"/>
      <c r="E49" s="44"/>
      <c r="F49" s="44"/>
      <c r="G49" s="44"/>
      <c r="H49" s="44"/>
      <c r="I49" s="44"/>
      <c r="J49" s="44"/>
    </row>
    <row r="50" spans="1:10" ht="18.5" x14ac:dyDescent="0.45">
      <c r="A50" s="63"/>
      <c r="B50" s="47"/>
      <c r="C50" s="63"/>
      <c r="D50" s="44"/>
      <c r="E50" s="44"/>
      <c r="F50" s="44"/>
      <c r="G50" s="44"/>
      <c r="H50" s="44"/>
      <c r="I50" s="44"/>
      <c r="J50" s="44"/>
    </row>
    <row r="52" spans="1:10" ht="155.5" customHeight="1" x14ac:dyDescent="0.35"/>
    <row r="53" spans="1:10" ht="169" customHeight="1" x14ac:dyDescent="0.35"/>
  </sheetData>
  <mergeCells count="21">
    <mergeCell ref="A41:B41"/>
    <mergeCell ref="A42:B42"/>
    <mergeCell ref="AC27:AJ27"/>
    <mergeCell ref="S28:T32"/>
    <mergeCell ref="U28:AA32"/>
    <mergeCell ref="AC28:AJ32"/>
    <mergeCell ref="A33:B33"/>
    <mergeCell ref="AC33:AJ37"/>
    <mergeCell ref="A37:B37"/>
    <mergeCell ref="S27:AA27"/>
    <mergeCell ref="A22:C22"/>
    <mergeCell ref="A23:C23"/>
    <mergeCell ref="A24:C24"/>
    <mergeCell ref="A25:C25"/>
    <mergeCell ref="E27:J30"/>
    <mergeCell ref="AI9:AI10"/>
    <mergeCell ref="N5:Q5"/>
    <mergeCell ref="N6:Q6"/>
    <mergeCell ref="A9:A10"/>
    <mergeCell ref="B9:B10"/>
    <mergeCell ref="C9:C10"/>
  </mergeCells>
  <conditionalFormatting sqref="B2:B3">
    <cfRule type="expression" dxfId="5" priority="1">
      <formula>B2=""</formula>
    </cfRule>
  </conditionalFormatting>
  <conditionalFormatting sqref="B3">
    <cfRule type="expression" dxfId="4" priority="2">
      <formula>TEXT(B3,"mmm")&lt;&gt;#REF!</formula>
    </cfRule>
  </conditionalFormatting>
  <conditionalFormatting sqref="D25:AH25">
    <cfRule type="cellIs" dxfId="3" priority="5" operator="greaterThan">
      <formula>8</formula>
    </cfRule>
    <cfRule type="cellIs" dxfId="2" priority="6" operator="lessThan">
      <formula>8</formula>
    </cfRule>
  </conditionalFormatting>
  <conditionalFormatting sqref="AB9:AH20 AB21:AF21 D9:AA25 AB22:AH25">
    <cfRule type="expression" dxfId="1" priority="3">
      <formula>OR(D$9="Sat",D$9="Sun")</formula>
    </cfRule>
    <cfRule type="expression" dxfId="0" priority="4">
      <formula>D$24=8</formula>
    </cfRule>
  </conditionalFormatting>
  <dataValidations count="2">
    <dataValidation type="custom" errorStyle="information" allowBlank="1" showInputMessage="1" showErrorMessage="1" errorTitle="End Date Error!" error="Tabel date tidak terbentuk karena periode timesheet maksimum 31 hari atau tanggal akhir lebih awal dari tanggal awal" sqref="B3" xr:uid="{00C4378F-A661-4D1F-8F23-1D3B3A24640C}">
      <formula1>AND((B3-B2)&lt;31,(B3&gt;=B2))</formula1>
    </dataValidation>
    <dataValidation type="custom" errorStyle="information" allowBlank="1" showInputMessage="1" showErrorMessage="1" errorTitle="Fix Start Date!" error="Tabel date tidak terbentuk karena tanggal awal lebih besar dari tanggal akhir atau tanggal awal dan tanggal akhir lebih dari 31 hari_x000a__x000a__x000a_" sqref="B2" xr:uid="{C37EB074-E3D3-4DDC-974F-937EADCC3081}">
      <formula1>AND(B2&lt;=B3, ABS(B2-B3) &lt; 31)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E5B8-DD91-4132-B819-9B05D1BA41C5}">
  <dimension ref="A1:Z67"/>
  <sheetViews>
    <sheetView topLeftCell="B47" zoomScale="72" zoomScaleNormal="72" workbookViewId="0">
      <selection activeCell="D21" sqref="D21"/>
    </sheetView>
  </sheetViews>
  <sheetFormatPr defaultRowHeight="14.5" x14ac:dyDescent="0.35"/>
  <cols>
    <col min="3" max="3" width="20.54296875" style="97" bestFit="1" customWidth="1"/>
    <col min="4" max="4" width="78.453125" style="2" bestFit="1" customWidth="1"/>
    <col min="5" max="5" width="27.1796875" customWidth="1"/>
    <col min="6" max="6" width="51.26953125" style="2" customWidth="1"/>
    <col min="7" max="7" width="30" style="1" customWidth="1"/>
    <col min="8" max="8" width="35.26953125" customWidth="1"/>
  </cols>
  <sheetData>
    <row r="1" spans="1:26" s="4" customFormat="1" ht="9.75" customHeight="1" x14ac:dyDescent="0.35">
      <c r="A1" s="5"/>
      <c r="B1" s="5"/>
      <c r="C1" s="94"/>
      <c r="D1" s="98"/>
      <c r="E1" s="5"/>
      <c r="F1" s="98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4" customFormat="1" ht="12.75" customHeight="1" x14ac:dyDescent="0.35">
      <c r="A2" s="5"/>
      <c r="B2" s="5"/>
      <c r="C2" s="94"/>
      <c r="D2" s="99" t="s">
        <v>70</v>
      </c>
      <c r="E2" s="6"/>
      <c r="F2" s="99"/>
      <c r="G2" s="7"/>
      <c r="H2" s="7"/>
      <c r="I2" s="7"/>
      <c r="J2" s="7"/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4" customFormat="1" ht="12.75" customHeight="1" x14ac:dyDescent="0.35">
      <c r="A3" s="5"/>
      <c r="B3" s="5"/>
      <c r="C3" s="94"/>
      <c r="D3" s="99"/>
      <c r="E3" s="6"/>
      <c r="F3" s="99"/>
      <c r="G3" s="7"/>
      <c r="H3" s="7"/>
      <c r="I3" s="7"/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4" customFormat="1" ht="12.75" customHeight="1" x14ac:dyDescent="0.35">
      <c r="A4" s="5"/>
      <c r="B4" s="5"/>
      <c r="C4" s="94"/>
      <c r="D4" s="100" t="s">
        <v>71</v>
      </c>
      <c r="E4" s="8"/>
      <c r="F4" s="100"/>
      <c r="G4" s="9"/>
      <c r="H4" s="9"/>
      <c r="I4" s="9"/>
      <c r="J4" s="9"/>
      <c r="K4" s="9"/>
      <c r="L4" s="9"/>
      <c r="M4" s="9"/>
      <c r="N4" s="9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4" customFormat="1" ht="9.75" customHeight="1" x14ac:dyDescent="0.35">
      <c r="A5" s="5"/>
      <c r="B5" s="5"/>
      <c r="C5" s="94"/>
      <c r="D5" s="98"/>
      <c r="E5" s="5"/>
      <c r="F5" s="9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4" customFormat="1" ht="9.75" customHeight="1" x14ac:dyDescent="0.35">
      <c r="A6" s="5"/>
      <c r="B6" s="5"/>
      <c r="C6" s="94"/>
      <c r="D6" s="98"/>
      <c r="E6" s="5"/>
      <c r="F6" s="9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6.15" customHeight="1" x14ac:dyDescent="0.35">
      <c r="C7" s="10" t="s">
        <v>72</v>
      </c>
      <c r="D7" s="36"/>
      <c r="E7" s="11" t="s">
        <v>73</v>
      </c>
      <c r="F7" s="11"/>
      <c r="G7" s="12"/>
    </row>
    <row r="8" spans="1:26" ht="30" customHeight="1" x14ac:dyDescent="0.35">
      <c r="C8" s="10"/>
      <c r="D8" s="37"/>
      <c r="E8" s="11" t="s">
        <v>74</v>
      </c>
      <c r="F8" s="11"/>
      <c r="G8" s="12"/>
    </row>
    <row r="9" spans="1:26" ht="30" customHeight="1" x14ac:dyDescent="0.35">
      <c r="C9" s="10"/>
      <c r="D9" s="11"/>
      <c r="E9" s="11"/>
      <c r="F9" s="11"/>
      <c r="G9" s="12"/>
    </row>
    <row r="10" spans="1:26" x14ac:dyDescent="0.35">
      <c r="B10" s="13" t="s">
        <v>75</v>
      </c>
      <c r="C10" s="95" t="s">
        <v>76</v>
      </c>
      <c r="D10" s="95" t="s">
        <v>77</v>
      </c>
      <c r="E10" s="101" t="s">
        <v>78</v>
      </c>
      <c r="F10" s="95" t="s">
        <v>79</v>
      </c>
      <c r="G10" s="13" t="s">
        <v>80</v>
      </c>
    </row>
    <row r="11" spans="1:26" ht="22" customHeight="1" x14ac:dyDescent="0.35">
      <c r="B11" s="38" t="s">
        <v>81</v>
      </c>
      <c r="C11" s="96"/>
      <c r="D11" s="96"/>
      <c r="E11" s="102"/>
      <c r="F11" s="96"/>
      <c r="G11" s="38"/>
    </row>
    <row r="12" spans="1:26" ht="56.5" customHeight="1" x14ac:dyDescent="0.35">
      <c r="B12" s="14">
        <v>1</v>
      </c>
      <c r="C12" s="35" t="s">
        <v>0</v>
      </c>
      <c r="D12" s="15" t="s">
        <v>82</v>
      </c>
      <c r="E12" s="16" t="s">
        <v>83</v>
      </c>
      <c r="F12" s="15" t="s">
        <v>84</v>
      </c>
      <c r="G12" s="17" t="s">
        <v>85</v>
      </c>
    </row>
    <row r="13" spans="1:26" ht="26" x14ac:dyDescent="0.35">
      <c r="B13" s="14">
        <v>2</v>
      </c>
      <c r="C13" s="22" t="s">
        <v>6</v>
      </c>
      <c r="D13" s="21" t="s">
        <v>86</v>
      </c>
      <c r="E13" s="16" t="s">
        <v>83</v>
      </c>
      <c r="F13" s="15" t="s">
        <v>87</v>
      </c>
      <c r="G13" s="19" t="s">
        <v>88</v>
      </c>
      <c r="H13" s="3"/>
    </row>
    <row r="14" spans="1:26" ht="26" x14ac:dyDescent="0.35">
      <c r="B14" s="14">
        <v>3</v>
      </c>
      <c r="C14" s="22" t="s">
        <v>89</v>
      </c>
      <c r="D14" s="21" t="s">
        <v>90</v>
      </c>
      <c r="E14" s="16" t="s">
        <v>83</v>
      </c>
      <c r="F14" s="15" t="s">
        <v>91</v>
      </c>
      <c r="G14" s="19" t="s">
        <v>92</v>
      </c>
      <c r="H14" s="23"/>
    </row>
    <row r="15" spans="1:26" ht="26" x14ac:dyDescent="0.35">
      <c r="B15" s="14">
        <v>4</v>
      </c>
      <c r="C15" s="22" t="s">
        <v>18</v>
      </c>
      <c r="D15" s="21" t="s">
        <v>93</v>
      </c>
      <c r="E15" s="16" t="s">
        <v>83</v>
      </c>
      <c r="F15" s="15" t="s">
        <v>94</v>
      </c>
      <c r="G15" s="19" t="s">
        <v>95</v>
      </c>
      <c r="H15" s="23"/>
    </row>
    <row r="16" spans="1:26" ht="39.75" customHeight="1" x14ac:dyDescent="0.35">
      <c r="B16" s="14">
        <v>5</v>
      </c>
      <c r="C16" s="22" t="s">
        <v>8</v>
      </c>
      <c r="D16" s="21" t="s">
        <v>96</v>
      </c>
      <c r="E16" s="16" t="s">
        <v>83</v>
      </c>
      <c r="F16" s="15" t="s">
        <v>97</v>
      </c>
      <c r="G16" s="19" t="s">
        <v>98</v>
      </c>
      <c r="H16" s="23"/>
    </row>
    <row r="17" spans="2:8" ht="39" x14ac:dyDescent="0.35">
      <c r="B17" s="14">
        <v>6</v>
      </c>
      <c r="C17" s="22" t="s">
        <v>14</v>
      </c>
      <c r="D17" s="21" t="s">
        <v>99</v>
      </c>
      <c r="E17" s="16" t="s">
        <v>83</v>
      </c>
      <c r="F17" s="15" t="s">
        <v>100</v>
      </c>
      <c r="G17" s="19" t="s">
        <v>101</v>
      </c>
      <c r="H17" s="23"/>
    </row>
    <row r="18" spans="2:8" ht="26" x14ac:dyDescent="0.35">
      <c r="B18" s="14">
        <v>7</v>
      </c>
      <c r="C18" s="138" t="s">
        <v>102</v>
      </c>
      <c r="D18" s="21" t="s">
        <v>103</v>
      </c>
      <c r="E18" s="16" t="s">
        <v>83</v>
      </c>
      <c r="F18" s="15" t="s">
        <v>104</v>
      </c>
      <c r="G18" s="19" t="s">
        <v>105</v>
      </c>
      <c r="H18" s="23"/>
    </row>
    <row r="19" spans="2:8" ht="52" x14ac:dyDescent="0.35">
      <c r="B19" s="14">
        <v>8</v>
      </c>
      <c r="C19" s="40" t="s">
        <v>106</v>
      </c>
      <c r="D19" s="21" t="s">
        <v>107</v>
      </c>
      <c r="E19" s="19" t="s">
        <v>83</v>
      </c>
      <c r="F19" s="21" t="s">
        <v>108</v>
      </c>
      <c r="G19" s="21" t="s">
        <v>109</v>
      </c>
      <c r="H19" s="24"/>
    </row>
    <row r="20" spans="2:8" ht="27.65" customHeight="1" x14ac:dyDescent="0.35">
      <c r="B20" s="38" t="s">
        <v>110</v>
      </c>
      <c r="C20" s="96"/>
      <c r="D20" s="96"/>
      <c r="E20" s="102"/>
      <c r="F20" s="96"/>
      <c r="G20" s="38"/>
      <c r="H20" s="23"/>
    </row>
    <row r="21" spans="2:8" ht="130" x14ac:dyDescent="0.35">
      <c r="B21" s="18">
        <v>9</v>
      </c>
      <c r="C21" s="22" t="s">
        <v>111</v>
      </c>
      <c r="D21" s="21" t="s">
        <v>112</v>
      </c>
      <c r="E21" s="20" t="s">
        <v>83</v>
      </c>
      <c r="F21" s="21" t="s">
        <v>113</v>
      </c>
      <c r="G21" s="19" t="s">
        <v>114</v>
      </c>
      <c r="H21" s="24"/>
    </row>
    <row r="22" spans="2:8" ht="98.5" customHeight="1" x14ac:dyDescent="0.35">
      <c r="B22" s="14">
        <v>10</v>
      </c>
      <c r="C22" s="41" t="s">
        <v>21</v>
      </c>
      <c r="D22" s="21" t="s">
        <v>115</v>
      </c>
      <c r="E22" s="19" t="s">
        <v>83</v>
      </c>
      <c r="F22" s="21" t="s">
        <v>116</v>
      </c>
      <c r="G22" s="25" t="s">
        <v>117</v>
      </c>
      <c r="H22" s="24"/>
    </row>
    <row r="23" spans="2:8" ht="52" x14ac:dyDescent="0.35">
      <c r="B23" s="18">
        <v>11</v>
      </c>
      <c r="C23" s="39" t="s">
        <v>118</v>
      </c>
      <c r="D23" s="26" t="s">
        <v>119</v>
      </c>
      <c r="E23" s="19" t="s">
        <v>83</v>
      </c>
      <c r="F23" s="21" t="s">
        <v>120</v>
      </c>
      <c r="G23" s="19" t="s">
        <v>121</v>
      </c>
      <c r="H23" s="1"/>
    </row>
    <row r="24" spans="2:8" ht="91" x14ac:dyDescent="0.35">
      <c r="B24" s="14">
        <v>12</v>
      </c>
      <c r="C24" s="39" t="s">
        <v>122</v>
      </c>
      <c r="D24" s="21" t="s">
        <v>123</v>
      </c>
      <c r="E24" s="19" t="s">
        <v>124</v>
      </c>
      <c r="F24" s="21" t="s">
        <v>125</v>
      </c>
      <c r="G24" s="19" t="s">
        <v>126</v>
      </c>
      <c r="H24" s="24"/>
    </row>
    <row r="25" spans="2:8" ht="104" x14ac:dyDescent="0.35">
      <c r="B25" s="18">
        <v>13</v>
      </c>
      <c r="C25" s="41" t="s">
        <v>127</v>
      </c>
      <c r="D25" s="26" t="s">
        <v>128</v>
      </c>
      <c r="E25" s="19" t="s">
        <v>124</v>
      </c>
      <c r="F25" s="21" t="s">
        <v>129</v>
      </c>
      <c r="G25" s="19" t="s">
        <v>130</v>
      </c>
      <c r="H25" s="1"/>
    </row>
    <row r="26" spans="2:8" ht="52" x14ac:dyDescent="0.35">
      <c r="B26" s="14">
        <v>14</v>
      </c>
      <c r="C26" s="103" t="s">
        <v>131</v>
      </c>
      <c r="D26" s="27" t="s">
        <v>132</v>
      </c>
      <c r="E26" s="30" t="s">
        <v>124</v>
      </c>
      <c r="F26" s="27"/>
      <c r="G26" s="30" t="s">
        <v>133</v>
      </c>
      <c r="H26" s="1"/>
    </row>
    <row r="27" spans="2:8" ht="27.65" customHeight="1" x14ac:dyDescent="0.35">
      <c r="B27" s="104" t="s">
        <v>134</v>
      </c>
      <c r="C27" s="105"/>
      <c r="D27" s="105"/>
      <c r="E27" s="106"/>
      <c r="F27" s="105"/>
      <c r="G27" s="104"/>
      <c r="H27" s="24"/>
    </row>
    <row r="28" spans="2:8" ht="27.65" customHeight="1" x14ac:dyDescent="0.35">
      <c r="B28" s="107">
        <v>15</v>
      </c>
      <c r="C28" s="108" t="s">
        <v>52</v>
      </c>
      <c r="D28" s="109" t="s">
        <v>135</v>
      </c>
      <c r="E28" s="29" t="s">
        <v>136</v>
      </c>
      <c r="F28" s="110"/>
      <c r="G28" s="111"/>
      <c r="H28" s="24"/>
    </row>
    <row r="29" spans="2:8" ht="27.65" customHeight="1" x14ac:dyDescent="0.35">
      <c r="B29" s="107">
        <v>16</v>
      </c>
      <c r="C29" s="112" t="s">
        <v>56</v>
      </c>
      <c r="D29" s="109" t="s">
        <v>137</v>
      </c>
      <c r="E29" s="29" t="s">
        <v>136</v>
      </c>
      <c r="F29" s="113"/>
      <c r="G29" s="114"/>
      <c r="H29" s="24"/>
    </row>
    <row r="30" spans="2:8" ht="27.65" customHeight="1" x14ac:dyDescent="0.35">
      <c r="B30" s="107">
        <v>17</v>
      </c>
      <c r="C30" s="108" t="s">
        <v>57</v>
      </c>
      <c r="D30" s="109" t="s">
        <v>138</v>
      </c>
      <c r="E30" s="29" t="s">
        <v>136</v>
      </c>
      <c r="F30" s="113"/>
      <c r="G30" s="114"/>
      <c r="H30" s="24"/>
    </row>
    <row r="31" spans="2:8" ht="27.65" customHeight="1" x14ac:dyDescent="0.35">
      <c r="B31" s="107">
        <v>18</v>
      </c>
      <c r="C31" s="108" t="s">
        <v>58</v>
      </c>
      <c r="D31" s="109" t="s">
        <v>139</v>
      </c>
      <c r="E31" s="29" t="s">
        <v>136</v>
      </c>
      <c r="F31" s="113"/>
      <c r="G31" s="114"/>
      <c r="H31" s="24"/>
    </row>
    <row r="32" spans="2:8" ht="40.5" customHeight="1" x14ac:dyDescent="0.35">
      <c r="B32" s="107">
        <v>19</v>
      </c>
      <c r="C32" s="112" t="s">
        <v>59</v>
      </c>
      <c r="D32" s="109" t="s">
        <v>140</v>
      </c>
      <c r="E32" s="29" t="s">
        <v>136</v>
      </c>
      <c r="F32" s="113"/>
      <c r="G32" s="114"/>
      <c r="H32" s="24"/>
    </row>
    <row r="33" spans="2:8" ht="46.5" customHeight="1" x14ac:dyDescent="0.35">
      <c r="B33" s="107">
        <v>20</v>
      </c>
      <c r="C33" s="112" t="s">
        <v>60</v>
      </c>
      <c r="D33" s="109" t="s">
        <v>141</v>
      </c>
      <c r="E33" s="29" t="s">
        <v>136</v>
      </c>
      <c r="F33" s="113"/>
      <c r="G33" s="114"/>
      <c r="H33" s="24"/>
    </row>
    <row r="34" spans="2:8" ht="43.5" customHeight="1" x14ac:dyDescent="0.35">
      <c r="B34" s="107">
        <v>21</v>
      </c>
      <c r="C34" s="115" t="s">
        <v>62</v>
      </c>
      <c r="D34" s="109" t="s">
        <v>142</v>
      </c>
      <c r="E34" s="29" t="s">
        <v>136</v>
      </c>
      <c r="F34" s="113"/>
      <c r="G34" s="114"/>
      <c r="H34" s="24"/>
    </row>
    <row r="35" spans="2:8" ht="40.5" customHeight="1" x14ac:dyDescent="0.35">
      <c r="B35" s="107">
        <v>22</v>
      </c>
      <c r="C35" s="116" t="s">
        <v>143</v>
      </c>
      <c r="D35" s="117" t="s">
        <v>144</v>
      </c>
      <c r="E35" s="28" t="s">
        <v>83</v>
      </c>
      <c r="F35" s="118" t="s">
        <v>145</v>
      </c>
      <c r="G35" s="119" t="s">
        <v>146</v>
      </c>
      <c r="H35" s="24"/>
    </row>
    <row r="36" spans="2:8" ht="24" customHeight="1" x14ac:dyDescent="0.35">
      <c r="B36" s="107">
        <v>23</v>
      </c>
      <c r="C36" s="120" t="s">
        <v>64</v>
      </c>
      <c r="D36" s="121" t="s">
        <v>147</v>
      </c>
      <c r="E36" s="29" t="s">
        <v>136</v>
      </c>
      <c r="F36" s="113"/>
      <c r="G36" s="114"/>
      <c r="H36" s="24"/>
    </row>
    <row r="37" spans="2:8" ht="27.65" customHeight="1" x14ac:dyDescent="0.35">
      <c r="B37" s="107">
        <v>24</v>
      </c>
      <c r="C37" s="120" t="s">
        <v>65</v>
      </c>
      <c r="D37" s="121" t="s">
        <v>148</v>
      </c>
      <c r="E37" s="29" t="s">
        <v>136</v>
      </c>
      <c r="F37" s="113"/>
      <c r="G37" s="114"/>
      <c r="H37" s="24"/>
    </row>
    <row r="38" spans="2:8" ht="27.65" customHeight="1" x14ac:dyDescent="0.35">
      <c r="B38" s="107">
        <v>25</v>
      </c>
      <c r="C38" s="120" t="s">
        <v>66</v>
      </c>
      <c r="D38" s="121" t="s">
        <v>149</v>
      </c>
      <c r="E38" s="29" t="s">
        <v>136</v>
      </c>
      <c r="F38" s="113"/>
      <c r="G38" s="114"/>
      <c r="H38" s="24"/>
    </row>
    <row r="39" spans="2:8" ht="86.15" customHeight="1" x14ac:dyDescent="0.35">
      <c r="B39" s="107">
        <v>26</v>
      </c>
      <c r="C39" s="115" t="s">
        <v>150</v>
      </c>
      <c r="D39" s="122" t="s">
        <v>151</v>
      </c>
      <c r="E39" s="122" t="s">
        <v>83</v>
      </c>
      <c r="F39" s="121"/>
      <c r="G39" s="121" t="s">
        <v>152</v>
      </c>
      <c r="H39" s="24"/>
    </row>
    <row r="40" spans="2:8" ht="65" x14ac:dyDescent="0.35">
      <c r="B40" s="107">
        <v>27</v>
      </c>
      <c r="C40" s="115" t="s">
        <v>153</v>
      </c>
      <c r="D40" s="122" t="s">
        <v>154</v>
      </c>
      <c r="E40" s="119" t="s">
        <v>155</v>
      </c>
      <c r="F40" s="122" t="s">
        <v>156</v>
      </c>
      <c r="G40" s="119" t="s">
        <v>157</v>
      </c>
      <c r="H40" s="24"/>
    </row>
    <row r="41" spans="2:8" ht="71.150000000000006" customHeight="1" x14ac:dyDescent="0.35">
      <c r="B41" s="107">
        <v>28</v>
      </c>
      <c r="C41" s="115" t="s">
        <v>158</v>
      </c>
      <c r="D41" s="122" t="s">
        <v>159</v>
      </c>
      <c r="E41" s="119" t="s">
        <v>160</v>
      </c>
      <c r="F41" s="122" t="s">
        <v>161</v>
      </c>
      <c r="G41" s="119" t="s">
        <v>162</v>
      </c>
      <c r="H41" s="24"/>
    </row>
    <row r="42" spans="2:8" x14ac:dyDescent="0.35">
      <c r="B42" s="107"/>
      <c r="C42" s="128"/>
      <c r="D42" s="122"/>
      <c r="E42" s="119"/>
      <c r="F42" s="122"/>
      <c r="G42" s="119"/>
      <c r="H42" s="1"/>
    </row>
    <row r="43" spans="2:8" x14ac:dyDescent="0.35">
      <c r="B43" s="107"/>
      <c r="C43" s="128"/>
      <c r="D43" s="122"/>
      <c r="E43" s="119"/>
      <c r="F43" s="122"/>
      <c r="G43" s="119"/>
    </row>
    <row r="44" spans="2:8" x14ac:dyDescent="0.35">
      <c r="B44" s="107"/>
      <c r="C44" s="128"/>
      <c r="D44" s="122"/>
      <c r="E44" s="119"/>
      <c r="F44" s="119"/>
      <c r="G44" s="119"/>
    </row>
    <row r="45" spans="2:8" x14ac:dyDescent="0.35">
      <c r="B45" s="107"/>
      <c r="C45" s="128"/>
      <c r="D45" s="122"/>
      <c r="E45" s="119"/>
      <c r="F45" s="119"/>
      <c r="G45" s="119"/>
    </row>
    <row r="46" spans="2:8" x14ac:dyDescent="0.35">
      <c r="B46" s="107"/>
      <c r="C46" s="128"/>
      <c r="D46" s="122"/>
      <c r="E46" s="119"/>
      <c r="F46" s="119"/>
      <c r="G46" s="119"/>
    </row>
    <row r="47" spans="2:8" ht="312" customHeight="1" x14ac:dyDescent="0.35">
      <c r="B47" s="107"/>
      <c r="C47" s="129"/>
      <c r="D47" s="122"/>
      <c r="E47" s="119"/>
      <c r="F47" s="197"/>
      <c r="G47" s="122"/>
    </row>
    <row r="48" spans="2:8" x14ac:dyDescent="0.35">
      <c r="B48" s="107"/>
      <c r="C48" s="128"/>
      <c r="D48" s="122"/>
      <c r="E48" s="119"/>
      <c r="F48" s="197"/>
      <c r="G48" s="122"/>
    </row>
    <row r="49" spans="2:8" x14ac:dyDescent="0.35">
      <c r="B49" s="107"/>
      <c r="C49" s="128"/>
      <c r="D49" s="122"/>
      <c r="E49" s="119"/>
      <c r="F49" s="197"/>
      <c r="G49" s="122"/>
    </row>
    <row r="50" spans="2:8" x14ac:dyDescent="0.35">
      <c r="B50" s="107"/>
      <c r="C50" s="129"/>
      <c r="D50" s="122"/>
      <c r="E50" s="119"/>
      <c r="F50" s="197"/>
      <c r="G50" s="122"/>
    </row>
    <row r="51" spans="2:8" x14ac:dyDescent="0.35">
      <c r="B51" s="107"/>
      <c r="C51" s="130"/>
      <c r="D51" s="122"/>
      <c r="E51" s="131"/>
      <c r="F51" s="118"/>
      <c r="G51" s="122"/>
      <c r="H51" s="28"/>
    </row>
    <row r="52" spans="2:8" x14ac:dyDescent="0.35">
      <c r="B52" s="107"/>
      <c r="C52" s="132"/>
      <c r="D52" s="122"/>
      <c r="E52" s="131"/>
      <c r="F52" s="122"/>
      <c r="G52" s="122"/>
      <c r="H52" s="29"/>
    </row>
    <row r="53" spans="2:8" x14ac:dyDescent="0.35">
      <c r="B53" s="107"/>
      <c r="C53" s="132"/>
      <c r="D53" s="122"/>
      <c r="E53" s="131"/>
      <c r="F53" s="122"/>
      <c r="G53" s="122"/>
      <c r="H53" s="29"/>
    </row>
    <row r="54" spans="2:8" x14ac:dyDescent="0.35">
      <c r="B54" s="107"/>
      <c r="C54" s="132"/>
      <c r="D54" s="122"/>
      <c r="E54" s="131"/>
      <c r="F54" s="122"/>
      <c r="G54" s="122"/>
      <c r="H54" s="28"/>
    </row>
    <row r="55" spans="2:8" x14ac:dyDescent="0.35">
      <c r="B55" s="107"/>
      <c r="C55" s="132"/>
      <c r="D55" s="122"/>
      <c r="E55" s="131"/>
      <c r="F55" s="122"/>
      <c r="G55" s="122"/>
      <c r="H55" s="28"/>
    </row>
    <row r="56" spans="2:8" x14ac:dyDescent="0.35">
      <c r="B56" s="107"/>
      <c r="C56" s="132"/>
      <c r="D56" s="133"/>
      <c r="E56" s="133"/>
      <c r="F56" s="122"/>
      <c r="G56" s="131"/>
    </row>
    <row r="57" spans="2:8" ht="180" customHeight="1" x14ac:dyDescent="0.35">
      <c r="B57" s="107"/>
      <c r="C57" s="132"/>
      <c r="D57" s="133"/>
      <c r="E57" s="133"/>
      <c r="F57" s="133"/>
      <c r="G57" s="131"/>
    </row>
    <row r="58" spans="2:8" x14ac:dyDescent="0.35">
      <c r="B58" s="107"/>
      <c r="C58" s="132"/>
      <c r="D58" s="118"/>
      <c r="E58" s="133"/>
      <c r="F58" s="122"/>
      <c r="G58" s="119"/>
      <c r="H58" s="28"/>
    </row>
    <row r="59" spans="2:8" x14ac:dyDescent="0.35">
      <c r="B59" s="107"/>
      <c r="C59" s="132"/>
      <c r="D59" s="118"/>
      <c r="E59" s="133"/>
      <c r="F59" s="122"/>
      <c r="G59" s="119"/>
      <c r="H59" s="28"/>
    </row>
    <row r="60" spans="2:8" x14ac:dyDescent="0.35">
      <c r="B60" s="107"/>
      <c r="C60" s="132"/>
      <c r="D60" s="118"/>
      <c r="E60" s="133"/>
      <c r="F60" s="122"/>
      <c r="G60" s="119"/>
      <c r="H60" s="28"/>
    </row>
    <row r="61" spans="2:8" x14ac:dyDescent="0.35">
      <c r="B61" s="107"/>
      <c r="C61" s="134"/>
      <c r="D61" s="122"/>
      <c r="E61" s="133"/>
      <c r="F61" s="122"/>
      <c r="G61" s="119"/>
    </row>
    <row r="62" spans="2:8" x14ac:dyDescent="0.35">
      <c r="B62" s="107"/>
      <c r="C62" s="135"/>
      <c r="D62" s="118"/>
      <c r="E62" s="133"/>
      <c r="F62" s="122"/>
      <c r="G62" s="121"/>
    </row>
    <row r="63" spans="2:8" x14ac:dyDescent="0.35">
      <c r="B63" s="123"/>
      <c r="C63" s="124"/>
      <c r="D63" s="125"/>
      <c r="E63" s="126"/>
      <c r="F63" s="125"/>
      <c r="G63" s="127"/>
    </row>
    <row r="64" spans="2:8" x14ac:dyDescent="0.35">
      <c r="B64" s="18"/>
      <c r="C64" s="34"/>
      <c r="D64" s="26"/>
      <c r="E64" s="31"/>
      <c r="F64" s="26"/>
      <c r="G64" s="32"/>
    </row>
    <row r="65" spans="2:7" x14ac:dyDescent="0.35">
      <c r="B65" s="18"/>
      <c r="C65" s="34"/>
      <c r="D65" s="26"/>
      <c r="E65" s="31"/>
      <c r="F65" s="26"/>
      <c r="G65" s="33"/>
    </row>
    <row r="66" spans="2:7" x14ac:dyDescent="0.35">
      <c r="B66" s="18"/>
      <c r="C66" s="34"/>
      <c r="D66" s="26"/>
      <c r="E66" s="31"/>
      <c r="F66" s="26"/>
      <c r="G66" s="33"/>
    </row>
    <row r="67" spans="2:7" x14ac:dyDescent="0.35">
      <c r="B67" s="18"/>
      <c r="C67" s="34"/>
      <c r="D67" s="26"/>
      <c r="E67" s="31"/>
      <c r="F67" s="26"/>
      <c r="G67" s="33"/>
    </row>
  </sheetData>
  <mergeCells count="1">
    <mergeCell ref="F47:F50"/>
  </mergeCells>
  <dataValidations count="1">
    <dataValidation allowBlank="1" showInputMessage="1" showErrorMessage="1" sqref="D8 C39:C60 C12:C19 C21:C26" xr:uid="{AB920E60-6426-443C-A88A-2CA64FF3F861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ef1726-c816-4ce0-a2de-c7222e5e0303">
      <Terms xmlns="http://schemas.microsoft.com/office/infopath/2007/PartnerControls"/>
    </lcf76f155ced4ddcb4097134ff3c332f>
    <TaxCatchAll xmlns="d5612f4b-f66b-41c9-92be-447d90e396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A4E8384962545BF977EF5EB207524" ma:contentTypeVersion="11" ma:contentTypeDescription="Create a new document." ma:contentTypeScope="" ma:versionID="4ee403f8dd4e2a519dba1f9b9ac8ee4c">
  <xsd:schema xmlns:xsd="http://www.w3.org/2001/XMLSchema" xmlns:xs="http://www.w3.org/2001/XMLSchema" xmlns:p="http://schemas.microsoft.com/office/2006/metadata/properties" xmlns:ns2="ecef1726-c816-4ce0-a2de-c7222e5e0303" xmlns:ns3="d5612f4b-f66b-41c9-92be-447d90e396fa" targetNamespace="http://schemas.microsoft.com/office/2006/metadata/properties" ma:root="true" ma:fieldsID="125149d91142ba75b246ebbf23bcbea7" ns2:_="" ns3:_="">
    <xsd:import namespace="ecef1726-c816-4ce0-a2de-c7222e5e0303"/>
    <xsd:import namespace="d5612f4b-f66b-41c9-92be-447d90e396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ef1726-c816-4ce0-a2de-c7222e5e0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bdb08d-5b4d-40aa-a06e-30fcfba41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12f4b-f66b-41c9-92be-447d90e396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4e975e7-400f-4f8a-b8ba-3c19dc9d102f}" ma:internalName="TaxCatchAll" ma:showField="CatchAllData" ma:web="d5612f4b-f66b-41c9-92be-447d90e396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86507A-BB9C-45C0-A806-7FF0424BFDF9}">
  <ds:schemaRefs>
    <ds:schemaRef ds:uri="http://www.w3.org/XML/1998/namespace"/>
    <ds:schemaRef ds:uri="d5612f4b-f66b-41c9-92be-447d90e396fa"/>
    <ds:schemaRef ds:uri="http://schemas.microsoft.com/office/2006/documentManagement/types"/>
    <ds:schemaRef ds:uri="ecef1726-c816-4ce0-a2de-c7222e5e0303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9A50F55-EB9E-48CA-A399-9CBC9253A5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C01729-B5BC-4A03-8B73-DB55C1079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ef1726-c816-4ce0-a2de-c7222e5e0303"/>
    <ds:schemaRef ds:uri="d5612f4b-f66b-41c9-92be-447d90e396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Timesheet_Template (OLD)</vt:lpstr>
      <vt:lpstr>Timesheet_Template</vt:lpstr>
      <vt:lpstr>Timesheet Field Guideline</vt:lpstr>
      <vt:lpstr>'Timesheet_Template (OLD)'!Print_Area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Mercia Zulkarnain</dc:creator>
  <cp:keywords/>
  <dc:description/>
  <cp:lastModifiedBy>Fachriyan Rizki Ibrahim</cp:lastModifiedBy>
  <cp:revision/>
  <cp:lastPrinted>2024-10-29T08:04:35Z</cp:lastPrinted>
  <dcterms:created xsi:type="dcterms:W3CDTF">2024-03-27T01:59:44Z</dcterms:created>
  <dcterms:modified xsi:type="dcterms:W3CDTF">2025-12-30T03:11:59Z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0x010100CBBA4E8384962545BF977EF5EB207524</vt:lpwstr>
  </property>
</Properties>
</file>